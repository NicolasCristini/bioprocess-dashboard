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1 Setup" sheetId="2" state="visible" r:id="rId4"/>
    <sheet name="2 Phases" sheetId="3" state="visible" r:id="rId5"/>
    <sheet name="3 Feed regimes" sheetId="4" state="visible" r:id="rId6"/>
    <sheet name="Results" sheetId="5" state="visible" r:id="rId7"/>
    <sheet name="Calculation" sheetId="6" state="visible" r:id="rId8"/>
    <sheet name="Chart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<sst xmlns="http://schemas.openxmlformats.org/spreadsheetml/2006/main" count="213" uniqueCount="163">
  <si>
    <t xml:space="preserve">Bioprocess Phase Planner</t>
  </si>
  <si>
    <t xml:space="preserve">Predicts cell density, metabolites, volumes, medium use and biomass for a process built from phases.</t>
  </si>
  <si>
    <t xml:space="preserve">HOW TO USE – 5 steps</t>
  </si>
  <si>
    <t xml:space="preserve">1.  1 Setup → vessel volume, working volume, seeding density and the metabolite / media table.</t>
  </si>
  <si>
    <t xml:space="preserve">2.  2 Phases → choose the number of phases (1–6), then for each phase pick its type and duration.</t>
  </si>
  <si>
    <t xml:space="preserve">3.  Fill only the yellow cells of each phase row – cells that do not apply to that type turn grey:</t>
  </si>
  <si>
    <t xml:space="preserve">        Batch       → target cell density at the end of the phase</t>
  </si>
  <si>
    <t xml:space="preserve">        Fed-batch   → target cell density + a feed regime (defined on 3 Feed regimes)</t>
  </si>
  <si>
    <t xml:space="preserve">        Continuous  → feed (perfusion) rate and bleed rate – suggestions are shown next to them</t>
  </si>
  <si>
    <t xml:space="preserve">4.  3 Feed regimes → daily additions (% of the initial working volume) for fed-batch phases.</t>
  </si>
  <si>
    <t xml:space="preserve">5.  Results → key numbers, per-phase table, checks and charts. The 'Check' column on 2 Phases tells you what is missing.</t>
  </si>
  <si>
    <t xml:space="preserve">Colours:  yellow = input  ·  grey = not needed  ·  green = OK  ·  red = needs attention</t>
  </si>
  <si>
    <t xml:space="preserve">Calculation and Chart data are automatic – no input there. To compare scenarios, make a copy of this file.</t>
  </si>
  <si>
    <t xml:space="preserve">MODEL (short)</t>
  </si>
  <si>
    <t xml:space="preserve">Batch / fed-batch: exponential growth from the phase's start density to its target. Continuous: VCC changes with (growth rate − bleed rate);</t>
  </si>
  <si>
    <t xml:space="preserve">bleed = growth rate holds VCC constant. Growth rate in continuous = the previous phase's rate unless you enter one.</t>
  </si>
  <si>
    <t xml:space="preserve">Metabolites: rate = q × VCC (q in 1E-11 mmol/cell/h). Fed-batch boluses are mixed in with the 'Fed-batch feed' composition;</t>
  </si>
  <si>
    <t xml:space="preserve">continuous phases exchange medium at the feed rate with the 'Perfusion medium' composition. Volume rises only with fed-batch boluses.</t>
  </si>
  <si>
    <t xml:space="preserve">Wet biomass = VCC/1E6 × (g/L at 1E6 cells/mL). Cells produced = cells at end + cells removed by bleed − cells inoculated.</t>
  </si>
  <si>
    <t xml:space="preserve">1 · Setup</t>
  </si>
  <si>
    <t xml:space="preserve">Process settings and metabolites. Yellow cells are inputs.</t>
  </si>
  <si>
    <t xml:space="preserve">Setting</t>
  </si>
  <si>
    <t xml:space="preserve">Value</t>
  </si>
  <si>
    <t xml:space="preserve">Unit</t>
  </si>
  <si>
    <t xml:space="preserve">Note</t>
  </si>
  <si>
    <t xml:space="preserve">Vessel volume (total)</t>
  </si>
  <si>
    <t xml:space="preserve">L</t>
  </si>
  <si>
    <t xml:space="preserve">Placeholder – replace with your vessel</t>
  </si>
  <si>
    <t xml:space="preserve">Initial working volume</t>
  </si>
  <si>
    <t xml:space="preserve">Seeding density (day 0)</t>
  </si>
  <si>
    <t xml:space="preserve">cells/mL</t>
  </si>
  <si>
    <t xml:space="preserve">Wet biomass at 1E6 cells/mL</t>
  </si>
  <si>
    <t xml:space="preserve">g/L</t>
  </si>
  <si>
    <t xml:space="preserve">Assumption – wet biomass scales with cell density</t>
  </si>
  <si>
    <t xml:space="preserve">Metabolite</t>
  </si>
  <si>
    <t xml:space="preserve">Consumed / produced</t>
  </si>
  <si>
    <t xml:space="preserve">q (× 1E-11 mmol/cell/h)</t>
  </si>
  <si>
    <t xml:space="preserve">Limit (mM)</t>
  </si>
  <si>
    <t xml:space="preserve">Batch medium (mM)</t>
  </si>
  <si>
    <t xml:space="preserve">Fed-batch feed (mM)</t>
  </si>
  <si>
    <t xml:space="preserve">Perfusion medium (mM)</t>
  </si>
  <si>
    <t xml:space="preserve">sign (auto)</t>
  </si>
  <si>
    <t xml:space="preserve">Glucose</t>
  </si>
  <si>
    <t xml:space="preserve">consumed</t>
  </si>
  <si>
    <t xml:space="preserve">Limit = minimum to keep</t>
  </si>
  <si>
    <t xml:space="preserve">Lactate</t>
  </si>
  <si>
    <t xml:space="preserve">produced</t>
  </si>
  <si>
    <t xml:space="preserve">Limit = maximum tolerated</t>
  </si>
  <si>
    <t xml:space="preserve">Glutamine</t>
  </si>
  <si>
    <t xml:space="preserve">Fill when known</t>
  </si>
  <si>
    <t xml:space="preserve">Glutamate</t>
  </si>
  <si>
    <t xml:space="preserve">Switch to 'produced' if it accumulates</t>
  </si>
  <si>
    <t xml:space="preserve">Ammonia</t>
  </si>
  <si>
    <t xml:space="preserve">Fill q and batch medium when known</t>
  </si>
  <si>
    <t xml:space="preserve">Limit: a consumed metabolite must stay ABOVE its limit, a produced one BELOW it. Leave cells blank if unknown.</t>
  </si>
  <si>
    <t xml:space="preserve">2 · Phases</t>
  </si>
  <si>
    <t xml:space="preserve">Pick the number of phases, then a type and duration per phase. Fill the yellow cells; grey cells are not needed for that type. 'Check' tells you what is missing.</t>
  </si>
  <si>
    <t xml:space="preserve">Number of phases</t>
  </si>
  <si>
    <t xml:space="preserve">Total duration (days)</t>
  </si>
  <si>
    <t xml:space="preserve">#</t>
  </si>
  <si>
    <t xml:space="preserve">Used?</t>
  </si>
  <si>
    <t xml:space="preserve">Phase type</t>
  </si>
  <si>
    <t xml:space="preserve">Duration (days)</t>
  </si>
  <si>
    <t xml:space="preserve">Target VCC at end (cells/mL)
Batch · Fed-batch</t>
  </si>
  <si>
    <t xml:space="preserve">Feed regime
Fed-batch</t>
  </si>
  <si>
    <t xml:space="preserve">Feed rate (VVD)
Continuous</t>
  </si>
  <si>
    <t xml:space="preserve">Bleed rate (VVD)
Continuous</t>
  </si>
  <si>
    <t xml:space="preserve">Growth rate override (1/day)
Continuous · optional</t>
  </si>
  <si>
    <t xml:space="preserve">What to fill</t>
  </si>
  <si>
    <t xml:space="preserve">Check</t>
  </si>
  <si>
    <t xml:space="preserve">Start day</t>
  </si>
  <si>
    <t xml:space="preserve">End day</t>
  </si>
  <si>
    <t xml:space="preserve">Start VCC (cells/mL)</t>
  </si>
  <si>
    <t xml:space="preserve">End VCC (cells/mL)</t>
  </si>
  <si>
    <t xml:space="preserve">Growth rate (1/day)</t>
  </si>
  <si>
    <t xml:space="preserve">Suggested bleed – holds VCC (VVD)</t>
  </si>
  <si>
    <t xml:space="preserve">Suggested min. feed rate (VVD)</t>
  </si>
  <si>
    <t xml:space="preserve">Working volume at end (L)</t>
  </si>
  <si>
    <t xml:space="preserve">Batch</t>
  </si>
  <si>
    <t xml:space="preserve">Fed-batch</t>
  </si>
  <si>
    <t xml:space="preserve">Regime A</t>
  </si>
  <si>
    <t xml:space="preserve">Continuous</t>
  </si>
  <si>
    <t xml:space="preserve">Feed and bleed rates are in reactor volumes per day (VVD). Default continuous inputs point to the suggestions (columns Q–R) – overwrite them with your own numbers.</t>
  </si>
  <si>
    <t xml:space="preserve">Suggested min. feed rate = the larger of the bleed rate and the rate that keeps every metabolite within its limit (using the perfusion medium on 1 Setup).</t>
  </si>
  <si>
    <t xml:space="preserve">3 · Feed regimes (for fed-batch phases)</t>
  </si>
  <si>
    <t xml:space="preserve">Bolus added at the end of each day of a fed-batch phase, as % of the initial working volume. Composition = 'Fed-batch feed' column on 1 Setup. Day 1 = first day of the phase.</t>
  </si>
  <si>
    <t xml:space="preserve">Phase day</t>
  </si>
  <si>
    <t xml:space="preserve">Regime B</t>
  </si>
  <si>
    <t xml:space="preserve">Regime C</t>
  </si>
  <si>
    <t xml:space="preserve">Regime D</t>
  </si>
  <si>
    <t xml:space="preserve">Description</t>
  </si>
  <si>
    <t xml:space="preserve">3 % on days 1–2</t>
  </si>
  <si>
    <t xml:space="preserve">2 % every day</t>
  </si>
  <si>
    <t xml:space="preserve">5 % every 2nd day</t>
  </si>
  <si>
    <t xml:space="preserve">custom</t>
  </si>
  <si>
    <t xml:space="preserve">Total over 30 days (% of WV)</t>
  </si>
  <si>
    <t xml:space="preserve">Results</t>
  </si>
  <si>
    <t xml:space="preserve">Everything here is calculated from tabs 1–3.</t>
  </si>
  <si>
    <t xml:space="preserve">Key number</t>
  </si>
  <si>
    <t xml:space="preserve">Min (mM)</t>
  </si>
  <si>
    <t xml:space="preserve">Max (mM)</t>
  </si>
  <si>
    <t xml:space="preserve">Status</t>
  </si>
  <si>
    <t xml:space="preserve">Total process duration</t>
  </si>
  <si>
    <t xml:space="preserve">days</t>
  </si>
  <si>
    <t xml:space="preserve">Phase table</t>
  </si>
  <si>
    <t xml:space="preserve">Final cell density</t>
  </si>
  <si>
    <t xml:space="preserve">Final working volume</t>
  </si>
  <si>
    <t xml:space="preserve">Max working volume</t>
  </si>
  <si>
    <t xml:space="preserve">Vessel volume</t>
  </si>
  <si>
    <t xml:space="preserve">Volume check</t>
  </si>
  <si>
    <t xml:space="preserve">Initial fill</t>
  </si>
  <si>
    <t xml:space="preserve">Phase</t>
  </si>
  <si>
    <t xml:space="preserve">Type</t>
  </si>
  <si>
    <t xml:space="preserve">Start VCC</t>
  </si>
  <si>
    <t xml:space="preserve">End VCC</t>
  </si>
  <si>
    <t xml:space="preserve">Fed-batch feed (L)</t>
  </si>
  <si>
    <t xml:space="preserve">Perfusion medium (L)</t>
  </si>
  <si>
    <t xml:space="preserve">Bleed (L)</t>
  </si>
  <si>
    <t xml:space="preserve">Harvest (L)</t>
  </si>
  <si>
    <t xml:space="preserve">Cells removed by bleed</t>
  </si>
  <si>
    <t xml:space="preserve">Glucose at end (mM)</t>
  </si>
  <si>
    <t xml:space="preserve">Lactate at end (mM)</t>
  </si>
  <si>
    <t xml:space="preserve">Fed-batch feed added</t>
  </si>
  <si>
    <t xml:space="preserve">Perfusion medium used</t>
  </si>
  <si>
    <t xml:space="preserve">TOTAL FRESH MEDIUM</t>
  </si>
  <si>
    <t xml:space="preserve">Bleed volume</t>
  </si>
  <si>
    <t xml:space="preserve">Harvest volume (cell-free)</t>
  </si>
  <si>
    <t xml:space="preserve">Cells inoculated</t>
  </si>
  <si>
    <t xml:space="preserve">cells</t>
  </si>
  <si>
    <t xml:space="preserve">Cells in reactor at end</t>
  </si>
  <si>
    <t xml:space="preserve">TOTAL CELLS PRODUCED</t>
  </si>
  <si>
    <t xml:space="preserve">Wet biomass in reactor at end</t>
  </si>
  <si>
    <t xml:space="preserve">g</t>
  </si>
  <si>
    <t xml:space="preserve">Wet biomass removed by bleed</t>
  </si>
  <si>
    <t xml:space="preserve">TOTAL WET BIOMASS PRODUCED</t>
  </si>
  <si>
    <t xml:space="preserve">Charts (below) read the 'Chart data' tab. Compare several planners in 'Bioprocess visualization (modular)'.</t>
  </si>
  <si>
    <t xml:space="preserve">Calculation – automatic, day by day (no input here)</t>
  </si>
  <si>
    <t xml:space="preserve">Rows after the end of the process stay empty. Fed-batch rows are orange, continuous rows blue.</t>
  </si>
  <si>
    <t xml:space="preserve">limit →</t>
  </si>
  <si>
    <t xml:space="preserve">sign →</t>
  </si>
  <si>
    <t xml:space="preserve">Day</t>
  </si>
  <si>
    <t xml:space="preserve">Phase #</t>
  </si>
  <si>
    <t xml:space="preserve">Day in phase</t>
  </si>
  <si>
    <t xml:space="preserve">VCC (cells/mL)</t>
  </si>
  <si>
    <t xml:space="preserve">Fed-batch bolus (L)</t>
  </si>
  <si>
    <t xml:space="preserve">Working volume (L)</t>
  </si>
  <si>
    <t xml:space="preserve">Avg VCC over day (cells/mL)</t>
  </si>
  <si>
    <t xml:space="preserve">Perfusion feed (L)</t>
  </si>
  <si>
    <t xml:space="preserve">Cum. fresh medium (L)</t>
  </si>
  <si>
    <t xml:space="preserve">Cum. harvest (L)</t>
  </si>
  <si>
    <t xml:space="preserve">Cum. bleed (L)</t>
  </si>
  <si>
    <t xml:space="preserve">Cum. cells bled</t>
  </si>
  <si>
    <t xml:space="preserve">Glucose (mM)</t>
  </si>
  <si>
    <t xml:space="preserve">Lactate (mM)</t>
  </si>
  <si>
    <t xml:space="preserve">Glutamine (mM)</t>
  </si>
  <si>
    <t xml:space="preserve">Glutamate (mM)</t>
  </si>
  <si>
    <t xml:space="preserve">Ammonia (mM)</t>
  </si>
  <si>
    <t xml:space="preserve">Wet biomass (g/L)</t>
  </si>
  <si>
    <t xml:space="preserve">Wet biomass in reactor (g)</t>
  </si>
  <si>
    <t xml:space="preserve">Cum. wet biomass in bleed (g)</t>
  </si>
  <si>
    <t xml:space="preserve">Wet biomass in bleed per day (g)</t>
  </si>
  <si>
    <t xml:space="preserve">Vessel volume (L)</t>
  </si>
  <si>
    <t xml:space="preserve">Automatic – only the days of the process (feeds the charts on Results).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</si>
</sst>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E+00"/>
    <numFmt numFmtId="167" formatCode="0"/>
    <numFmt numFmtId="168" formatCode="0.000"/>
    <numFmt numFmtId="169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9C0006"/>
      </font>
      <fill>
        <patternFill>
          <bgColor rgb="FFF8CBAD"/>
        </patternFill>
      </fill>
    </dxf>
    <dxf>
      <font>
        <color rgb="FFA6A6A6"/>
      </font>
      <fill>
        <patternFill>
          <bgColor rgb="FFE7E6E6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1" customFormat="false" ht="15" hidden="false" customHeight="false" outlineLevel="0" collapsed="false">
      <c r="A11" s="0" t="s">
        <v>9</v>
      </c>
    </row>
    <row r="12" customFormat="false" ht="15" hidden="false" customHeight="false" outlineLevel="0" collapsed="false">
      <c r="A12" s="0" t="s">
        <v>10</v>
      </c>
    </row>
    <row r="14" customFormat="false" ht="15" hidden="false" customHeight="false" outlineLevel="0" collapsed="false">
      <c r="A14" s="0" t="s">
        <v>11</v>
      </c>
    </row>
    <row r="15" customFormat="false" ht="1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</row>
    <row r="4" customFormat="false" ht="15" hidden="false" customHeight="false" outlineLevel="0" collapsed="false">
      <c r="A4" s="5" t="s">
        <v>25</v>
      </c>
      <c r="B4" s="6" t="n">
        <v>2</v>
      </c>
      <c r="C4" s="5" t="s">
        <v>26</v>
      </c>
      <c r="D4" s="5" t="s">
        <v>27</v>
      </c>
    </row>
    <row r="5" customFormat="false" ht="15" hidden="false" customHeight="false" outlineLevel="0" collapsed="false">
      <c r="A5" s="5" t="s">
        <v>28</v>
      </c>
      <c r="B5" s="6" t="n">
        <v>1</v>
      </c>
      <c r="C5" s="5" t="s">
        <v>26</v>
      </c>
      <c r="D5" s="7" t="str">
        <f aca="false">IF(B5&gt;=B4,"⚠ must be below the vessel volume","OK")</f>
        <v>OK</v>
      </c>
    </row>
    <row r="6" customFormat="false" ht="15" hidden="false" customHeight="false" outlineLevel="0" collapsed="false">
      <c r="A6" s="5" t="s">
        <v>29</v>
      </c>
      <c r="B6" s="8" t="n">
        <v>800000</v>
      </c>
      <c r="C6" s="5" t="s">
        <v>30</v>
      </c>
      <c r="D6" s="5"/>
    </row>
    <row r="7" customFormat="false" ht="15" hidden="false" customHeight="false" outlineLevel="0" collapsed="false">
      <c r="A7" s="5" t="s">
        <v>31</v>
      </c>
      <c r="B7" s="6" t="n">
        <v>2</v>
      </c>
      <c r="C7" s="5" t="s">
        <v>32</v>
      </c>
      <c r="D7" s="5" t="s">
        <v>33</v>
      </c>
    </row>
    <row r="9" customFormat="false" ht="45" hidden="false" customHeight="true" outlineLevel="0" collapsed="false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41</v>
      </c>
      <c r="I9" s="4" t="s">
        <v>24</v>
      </c>
    </row>
    <row r="10" customFormat="false" ht="15" hidden="false" customHeight="false" outlineLevel="0" collapsed="false">
      <c r="A10" s="9" t="s">
        <v>42</v>
      </c>
      <c r="B10" s="10" t="s">
        <v>43</v>
      </c>
      <c r="C10" s="10" t="n">
        <v>7.9</v>
      </c>
      <c r="D10" s="10" t="n">
        <v>5</v>
      </c>
      <c r="E10" s="10" t="n">
        <v>25</v>
      </c>
      <c r="F10" s="10" t="n">
        <v>250</v>
      </c>
      <c r="G10" s="10" t="n">
        <v>25</v>
      </c>
      <c r="H10" s="5" t="n">
        <f aca="false">IF(B10="consumed",-1,1)</f>
        <v>-1</v>
      </c>
      <c r="I10" s="5" t="s">
        <v>44</v>
      </c>
    </row>
    <row r="11" customFormat="false" ht="15" hidden="false" customHeight="false" outlineLevel="0" collapsed="false">
      <c r="A11" s="9" t="s">
        <v>45</v>
      </c>
      <c r="B11" s="10" t="s">
        <v>46</v>
      </c>
      <c r="C11" s="10" t="n">
        <v>8.6</v>
      </c>
      <c r="D11" s="10" t="n">
        <v>20</v>
      </c>
      <c r="E11" s="10" t="n">
        <v>0</v>
      </c>
      <c r="F11" s="10" t="n">
        <v>0</v>
      </c>
      <c r="G11" s="10" t="n">
        <v>0</v>
      </c>
      <c r="H11" s="5" t="n">
        <f aca="false">IF(B11="consumed",-1,1)</f>
        <v>1</v>
      </c>
      <c r="I11" s="5" t="s">
        <v>47</v>
      </c>
    </row>
    <row r="12" customFormat="false" ht="15" hidden="false" customHeight="false" outlineLevel="0" collapsed="false">
      <c r="A12" s="9" t="s">
        <v>48</v>
      </c>
      <c r="B12" s="10" t="s">
        <v>43</v>
      </c>
      <c r="C12" s="10"/>
      <c r="D12" s="10" t="n">
        <v>0.5</v>
      </c>
      <c r="E12" s="10"/>
      <c r="F12" s="10"/>
      <c r="G12" s="10"/>
      <c r="H12" s="5" t="n">
        <f aca="false">IF(B12="consumed",-1,1)</f>
        <v>-1</v>
      </c>
      <c r="I12" s="5" t="s">
        <v>49</v>
      </c>
    </row>
    <row r="13" customFormat="false" ht="15" hidden="false" customHeight="false" outlineLevel="0" collapsed="false">
      <c r="A13" s="9" t="s">
        <v>50</v>
      </c>
      <c r="B13" s="10" t="s">
        <v>43</v>
      </c>
      <c r="C13" s="10"/>
      <c r="D13" s="10" t="n">
        <v>0.5</v>
      </c>
      <c r="E13" s="10"/>
      <c r="F13" s="10"/>
      <c r="G13" s="10"/>
      <c r="H13" s="5" t="n">
        <f aca="false">IF(B13="consumed",-1,1)</f>
        <v>-1</v>
      </c>
      <c r="I13" s="5" t="s">
        <v>51</v>
      </c>
    </row>
    <row r="14" customFormat="false" ht="15" hidden="false" customHeight="false" outlineLevel="0" collapsed="false">
      <c r="A14" s="9" t="s">
        <v>52</v>
      </c>
      <c r="B14" s="10" t="s">
        <v>46</v>
      </c>
      <c r="C14" s="10"/>
      <c r="D14" s="10" t="n">
        <v>5</v>
      </c>
      <c r="E14" s="10"/>
      <c r="F14" s="10" t="n">
        <v>0</v>
      </c>
      <c r="G14" s="10" t="n">
        <v>0</v>
      </c>
      <c r="H14" s="5" t="n">
        <f aca="false">IF(B14="consumed",-1,1)</f>
        <v>1</v>
      </c>
      <c r="I14" s="5" t="s">
        <v>53</v>
      </c>
    </row>
    <row r="16" customFormat="false" ht="15" hidden="false" customHeight="false" outlineLevel="0" collapsed="false">
      <c r="A16" s="2" t="s">
        <v>54</v>
      </c>
    </row>
  </sheetData>
  <conditionalFormatting sqref="D5">
    <cfRule type="expression" priority="2" aboveAverage="0" equalAverage="0" bottom="0" percent="0" rank="0" text="" dxfId="0">
      <formula>LEFT($D$5,1)="⚠"</formula>
    </cfRule>
  </conditionalFormatting>
  <dataValidations count="1">
    <dataValidation allowBlank="true" errorStyle="stop" operator="between" showDropDown="false" showErrorMessage="false" showInputMessage="false" sqref="B10:B14" type="list">
      <formula1>"consumed,produced"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8" min="6" style="0" width="12"/>
    <col collapsed="false" customWidth="true" hidden="false" outlineLevel="0" max="9" min="9" style="0" width="15"/>
    <col collapsed="false" customWidth="true" hidden="false" outlineLevel="0" max="10" min="10" style="0" width="34"/>
    <col collapsed="false" customWidth="true" hidden="false" outlineLevel="0" max="11" min="11" style="0" width="28"/>
    <col collapsed="false" customWidth="true" hidden="false" outlineLevel="0" max="13" min="12" style="0" width="8"/>
    <col collapsed="false" customWidth="true" hidden="false" outlineLevel="0" max="15" min="14" style="0" width="13"/>
    <col collapsed="false" customWidth="true" hidden="false" outlineLevel="0" max="16" min="16" style="0" width="11"/>
    <col collapsed="false" customWidth="true" hidden="false" outlineLevel="0" max="18" min="17" style="0" width="14"/>
    <col collapsed="false" customWidth="true" hidden="false" outlineLevel="0" max="19" min="19" style="0" width="12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9" t="s">
        <v>57</v>
      </c>
      <c r="B4" s="10" t="n">
        <v>3</v>
      </c>
      <c r="C4" s="9" t="s">
        <v>58</v>
      </c>
      <c r="D4" s="11" t="n">
        <f aca="false">MAX(M7:M12)</f>
        <v>14</v>
      </c>
      <c r="E4" s="7" t="str">
        <f aca="false">IF(D4&gt;120,"⚠ max 120 days","")</f>
        <v/>
      </c>
    </row>
    <row r="6" customFormat="false" ht="60" hidden="false" customHeight="true" outlineLevel="0" collapsed="false">
      <c r="A6" s="4" t="s">
        <v>59</v>
      </c>
      <c r="B6" s="4" t="s">
        <v>60</v>
      </c>
      <c r="C6" s="4" t="s">
        <v>61</v>
      </c>
      <c r="D6" s="4" t="s">
        <v>62</v>
      </c>
      <c r="E6" s="4" t="s">
        <v>63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68</v>
      </c>
      <c r="K6" s="4" t="s">
        <v>69</v>
      </c>
      <c r="L6" s="4" t="s">
        <v>70</v>
      </c>
      <c r="M6" s="4" t="s">
        <v>71</v>
      </c>
      <c r="N6" s="4" t="s">
        <v>72</v>
      </c>
      <c r="O6" s="4" t="s">
        <v>73</v>
      </c>
      <c r="P6" s="4" t="s">
        <v>74</v>
      </c>
      <c r="Q6" s="4" t="s">
        <v>75</v>
      </c>
      <c r="R6" s="4" t="s">
        <v>76</v>
      </c>
      <c r="S6" s="4" t="s">
        <v>77</v>
      </c>
    </row>
    <row r="7" customFormat="false" ht="15" hidden="false" customHeight="false" outlineLevel="0" collapsed="false">
      <c r="A7" s="7" t="n">
        <v>1</v>
      </c>
      <c r="B7" s="7" t="str">
        <f aca="false">IF(A7&lt;=VALUE($B$4),"yes","—")</f>
        <v>yes</v>
      </c>
      <c r="C7" s="10" t="s">
        <v>78</v>
      </c>
      <c r="D7" s="12" t="n">
        <v>2</v>
      </c>
      <c r="E7" s="8" t="n">
        <v>2370000</v>
      </c>
      <c r="F7" s="10"/>
      <c r="G7" s="13"/>
      <c r="H7" s="13"/>
      <c r="I7" s="13"/>
      <c r="J7" s="7" t="str">
        <f aca="false">IF(B7&lt;&gt;"yes","(not used)",IF(C7="Batch","duration + target VCC",IF(C7="Fed-batch","duration + target VCC + feed regime",IF(C7="Continuous","duration + feed rate + bleed rate","choose a phase type"))))</f>
        <v>duration + target VCC</v>
      </c>
      <c r="K7" s="9" t="str">
        <f aca="false">IF(B7&lt;&gt;"yes","—",IF(C7="","⚠ choose phase type",IF(N(D7)&lt;=0,"⚠ enter duration",IF(D7&lt;&gt;INT(D7),"⚠ whole days only",IF(AND(C7&lt;&gt;"Continuous",E7=""),"⚠ enter target VCC",IF(AND(C7="Fed-batch",F7=""),"⚠ choose feed regime",IF(AND(C7="Continuous",OR(G7="",H7="")),"⚠ enter feed and bleed rate",IF(AND(C7="Continuous",N(G7)&lt;N(H7)),"⚠ feed rate below bleed rate",IF(AND(C7="Continuous",P7=""),"⚠ no growth rate – enter one","OK")))))))))</f>
        <v>OK</v>
      </c>
      <c r="L7" s="11" t="n">
        <f aca="false">IF(B7="yes",0,"")</f>
        <v>0</v>
      </c>
      <c r="M7" s="11" t="n">
        <f aca="false">IF(B7="yes",L7+N(D7),"")</f>
        <v>2</v>
      </c>
      <c r="N7" s="14" t="n">
        <f aca="false">IF(B7="yes",'1 Setup'!$B$6,"")</f>
        <v>800000</v>
      </c>
      <c r="O7" s="14" t="n">
        <f aca="false">IF(B7&lt;&gt;"yes","",IFERROR(IF(C7="Continuous",N7*EXP((P7-N(H7))*N(D7)),IF(E7="",N7,E7)),""))</f>
        <v>2370000</v>
      </c>
      <c r="P7" s="15" t="n">
        <f aca="false">IF(B7&lt;&gt;"yes","",IF(C7="Continuous",IF(I7&lt;&gt;"",I7,""),IFERROR(LN(E7/N7)/D7,"")))</f>
        <v>0.543016753230625</v>
      </c>
      <c r="Q7" s="15" t="str">
        <f aca="false">IF(AND(B7="yes",C7="Continuous"),P7,"")</f>
        <v/>
      </c>
      <c r="R7" s="15" t="str">
        <f aca="false">IF(AND(B7="yes",C7="Continuous"),IFERROR(MAX(Q7,IF(AND(ISNUMBER('1 Setup'!$C$10),ISNUMBER('1 Setup'!$G$10),ISNUMBER('1 Setup'!$D$10),'1 Setup'!$H$10*('1 Setup'!$D$10-'1 Setup'!$G$10)&gt;0),'1 Setup'!$C$10*MAX(N7,O7)*0.00000024/ABS('1 Setup'!$D$10-'1 Setup'!$G$10),0),IF(AND(ISNUMBER('1 Setup'!$C$11),ISNUMBER('1 Setup'!$G$11),ISNUMBER('1 Setup'!$D$11),'1 Setup'!$H$11*('1 Setup'!$D$11-'1 Setup'!$G$11)&gt;0),'1 Setup'!$C$11*MAX(N7,O7)*0.00000024/ABS('1 Setup'!$D$11-'1 Setup'!$G$11),0),IF(AND(ISNUMBER('1 Setup'!$C$12),ISNUMBER('1 Setup'!$G$12),ISNUMBER('1 Setup'!$D$12),'1 Setup'!$H$12*('1 Setup'!$D$12-'1 Setup'!$G$12)&gt;0),'1 Setup'!$C$12*MAX(N7,O7)*0.00000024/ABS('1 Setup'!$D$12-'1 Setup'!$G$12),0),IF(AND(ISNUMBER('1 Setup'!$C$13),ISNUMBER('1 Setup'!$G$13),ISNUMBER('1 Setup'!$D$13),'1 Setup'!$H$13*('1 Setup'!$D$13-'1 Setup'!$G$13)&gt;0),'1 Setup'!$C$13*MAX(N7,O7)*0.00000024/ABS('1 Setup'!$D$13-'1 Setup'!$G$13),0),IF(AND(ISNUMBER('1 Setup'!$C$14),ISNUMBER('1 Setup'!$G$14),ISNUMBER('1 Setup'!$D$14),'1 Setup'!$H$14*('1 Setup'!$D$14-'1 Setup'!$G$14)&gt;0),'1 Setup'!$C$14*MAX(N7,O7)*0.00000024/ABS('1 Setup'!$D$14-'1 Setup'!$G$14),0)),""),"")</f>
        <v/>
      </c>
      <c r="S7" s="15" t="n">
        <f aca="false">IF(B7&lt;&gt;"yes","",IFERROR(INDEX(Calculation!$G$6:$G$126,MATCH(M7,Calculation!$A$6:$A$126,0)),""))</f>
        <v>1</v>
      </c>
    </row>
    <row r="8" customFormat="false" ht="15" hidden="false" customHeight="false" outlineLevel="0" collapsed="false">
      <c r="A8" s="7" t="n">
        <v>2</v>
      </c>
      <c r="B8" s="7" t="str">
        <f aca="false">IF(A8&lt;=VALUE($B$4),"yes","—")</f>
        <v>yes</v>
      </c>
      <c r="C8" s="10" t="s">
        <v>79</v>
      </c>
      <c r="D8" s="12" t="n">
        <v>2</v>
      </c>
      <c r="E8" s="8" t="n">
        <v>7000000</v>
      </c>
      <c r="F8" s="10" t="s">
        <v>80</v>
      </c>
      <c r="G8" s="13"/>
      <c r="H8" s="13"/>
      <c r="I8" s="13"/>
      <c r="J8" s="7" t="str">
        <f aca="false">IF(B8&lt;&gt;"yes","(not used)",IF(C8="Batch","duration + target VCC",IF(C8="Fed-batch","duration + target VCC + feed regime",IF(C8="Continuous","duration + feed rate + bleed rate","choose a phase type"))))</f>
        <v>duration + target VCC + feed regime</v>
      </c>
      <c r="K8" s="9" t="str">
        <f aca="false">IF(B8&lt;&gt;"yes","—",IF(C8="","⚠ choose phase type",IF(N(D8)&lt;=0,"⚠ enter duration",IF(D8&lt;&gt;INT(D8),"⚠ whole days only",IF(AND(C8&lt;&gt;"Continuous",E8=""),"⚠ enter target VCC",IF(AND(C8="Fed-batch",F8=""),"⚠ choose feed regime",IF(AND(C8="Continuous",OR(G8="",H8="")),"⚠ enter feed and bleed rate",IF(AND(C8="Continuous",N(G8)&lt;N(H8)),"⚠ feed rate below bleed rate",IF(AND(C8="Continuous",P8=""),"⚠ no growth rate – enter one","OK")))))))))</f>
        <v>OK</v>
      </c>
      <c r="L8" s="11" t="n">
        <f aca="false">IF(B8="yes",M7,"")</f>
        <v>2</v>
      </c>
      <c r="M8" s="11" t="n">
        <f aca="false">IF(B8="yes",L8+N(D8),"")</f>
        <v>4</v>
      </c>
      <c r="N8" s="14" t="n">
        <f aca="false">IF(B8="yes",O7,"")</f>
        <v>2370000</v>
      </c>
      <c r="O8" s="14" t="n">
        <f aca="false">IF(B8&lt;&gt;"yes","",IFERROR(IF(C8="Continuous",N8*EXP((P8-N(H8))*N(D8)),IF(E8="",N8,E8)),""))</f>
        <v>7000000</v>
      </c>
      <c r="P8" s="15" t="n">
        <f aca="false">IF(B8&lt;&gt;"yes","",IF(C8="Continuous",IF(I8&lt;&gt;"",I8,P7),IFERROR(LN(E8/N8)/D8,"")))</f>
        <v>0.541510096954137</v>
      </c>
      <c r="Q8" s="15" t="str">
        <f aca="false">IF(AND(B8="yes",C8="Continuous"),P8,"")</f>
        <v/>
      </c>
      <c r="R8" s="15" t="str">
        <f aca="false">IF(AND(B8="yes",C8="Continuous"),IFERROR(MAX(Q8,IF(AND(ISNUMBER('1 Setup'!$C$10),ISNUMBER('1 Setup'!$G$10),ISNUMBER('1 Setup'!$D$10),'1 Setup'!$H$10*('1 Setup'!$D$10-'1 Setup'!$G$10)&gt;0),'1 Setup'!$C$10*MAX(N8,O8)*0.00000024/ABS('1 Setup'!$D$10-'1 Setup'!$G$10),0),IF(AND(ISNUMBER('1 Setup'!$C$11),ISNUMBER('1 Setup'!$G$11),ISNUMBER('1 Setup'!$D$11),'1 Setup'!$H$11*('1 Setup'!$D$11-'1 Setup'!$G$11)&gt;0),'1 Setup'!$C$11*MAX(N8,O8)*0.00000024/ABS('1 Setup'!$D$11-'1 Setup'!$G$11),0),IF(AND(ISNUMBER('1 Setup'!$C$12),ISNUMBER('1 Setup'!$G$12),ISNUMBER('1 Setup'!$D$12),'1 Setup'!$H$12*('1 Setup'!$D$12-'1 Setup'!$G$12)&gt;0),'1 Setup'!$C$12*MAX(N8,O8)*0.00000024/ABS('1 Setup'!$D$12-'1 Setup'!$G$12),0),IF(AND(ISNUMBER('1 Setup'!$C$13),ISNUMBER('1 Setup'!$G$13),ISNUMBER('1 Setup'!$D$13),'1 Setup'!$H$13*('1 Setup'!$D$13-'1 Setup'!$G$13)&gt;0),'1 Setup'!$C$13*MAX(N8,O8)*0.00000024/ABS('1 Setup'!$D$13-'1 Setup'!$G$13),0),IF(AND(ISNUMBER('1 Setup'!$C$14),ISNUMBER('1 Setup'!$G$14),ISNUMBER('1 Setup'!$D$14),'1 Setup'!$H$14*('1 Setup'!$D$14-'1 Setup'!$G$14)&gt;0),'1 Setup'!$C$14*MAX(N8,O8)*0.00000024/ABS('1 Setup'!$D$14-'1 Setup'!$G$14),0)),""),"")</f>
        <v/>
      </c>
      <c r="S8" s="15" t="n">
        <f aca="false">IF(B8&lt;&gt;"yes","",IFERROR(INDEX(Calculation!$G$6:$G$126,MATCH(M8,Calculation!$A$6:$A$126,0)),""))</f>
        <v>1.06</v>
      </c>
    </row>
    <row r="9" customFormat="false" ht="15" hidden="false" customHeight="false" outlineLevel="0" collapsed="false">
      <c r="A9" s="7" t="n">
        <v>3</v>
      </c>
      <c r="B9" s="7" t="str">
        <f aca="false">IF(A9&lt;=VALUE($B$4),"yes","—")</f>
        <v>yes</v>
      </c>
      <c r="C9" s="10" t="s">
        <v>81</v>
      </c>
      <c r="D9" s="12" t="n">
        <v>10</v>
      </c>
      <c r="E9" s="8"/>
      <c r="F9" s="10"/>
      <c r="G9" s="13" t="n">
        <f aca="false">R9</f>
        <v>0.7224</v>
      </c>
      <c r="H9" s="13" t="n">
        <f aca="false">Q9</f>
        <v>0.541510096954137</v>
      </c>
      <c r="I9" s="13"/>
      <c r="J9" s="7" t="str">
        <f aca="false">IF(B9&lt;&gt;"yes","(not used)",IF(C9="Batch","duration + target VCC",IF(C9="Fed-batch","duration + target VCC + feed regime",IF(C9="Continuous","duration + feed rate + bleed rate","choose a phase type"))))</f>
        <v>duration + feed rate + bleed rate</v>
      </c>
      <c r="K9" s="9" t="str">
        <f aca="false">IF(B9&lt;&gt;"yes","—",IF(C9="","⚠ choose phase type",IF(N(D9)&lt;=0,"⚠ enter duration",IF(D9&lt;&gt;INT(D9),"⚠ whole days only",IF(AND(C9&lt;&gt;"Continuous",E9=""),"⚠ enter target VCC",IF(AND(C9="Fed-batch",F9=""),"⚠ choose feed regime",IF(AND(C9="Continuous",OR(G9="",H9="")),"⚠ enter feed and bleed rate",IF(AND(C9="Continuous",N(G9)&lt;N(H9)),"⚠ feed rate below bleed rate",IF(AND(C9="Continuous",P9=""),"⚠ no growth rate – enter one","OK")))))))))</f>
        <v>OK</v>
      </c>
      <c r="L9" s="11" t="n">
        <f aca="false">IF(B9="yes",M8,"")</f>
        <v>4</v>
      </c>
      <c r="M9" s="11" t="n">
        <f aca="false">IF(B9="yes",L9+N(D9),"")</f>
        <v>14</v>
      </c>
      <c r="N9" s="14" t="n">
        <f aca="false">IF(B9="yes",O8,"")</f>
        <v>7000000</v>
      </c>
      <c r="O9" s="14" t="n">
        <f aca="false">IF(B9&lt;&gt;"yes","",IFERROR(IF(C9="Continuous",N9*EXP((P9-N(H9))*N(D9)),IF(E9="",N9,E9)),""))</f>
        <v>7000000</v>
      </c>
      <c r="P9" s="15" t="n">
        <f aca="false">IF(B9&lt;&gt;"yes","",IF(C9="Continuous",IF(I9&lt;&gt;"",I9,P8),IFERROR(LN(E9/N9)/D9,"")))</f>
        <v>0.541510096954137</v>
      </c>
      <c r="Q9" s="15" t="n">
        <f aca="false">IF(AND(B9="yes",C9="Continuous"),P9,"")</f>
        <v>0.541510096954137</v>
      </c>
      <c r="R9" s="15" t="n">
        <f aca="false">IF(AND(B9="yes",C9="Continuous"),IFERROR(MAX(Q9,IF(AND(ISNUMBER('1 Setup'!$C$10),ISNUMBER('1 Setup'!$G$10),ISNUMBER('1 Setup'!$D$10),'1 Setup'!$H$10*('1 Setup'!$D$10-'1 Setup'!$G$10)&gt;0),'1 Setup'!$C$10*MAX(N9,O9)*0.00000024/ABS('1 Setup'!$D$10-'1 Setup'!$G$10),0),IF(AND(ISNUMBER('1 Setup'!$C$11),ISNUMBER('1 Setup'!$G$11),ISNUMBER('1 Setup'!$D$11),'1 Setup'!$H$11*('1 Setup'!$D$11-'1 Setup'!$G$11)&gt;0),'1 Setup'!$C$11*MAX(N9,O9)*0.00000024/ABS('1 Setup'!$D$11-'1 Setup'!$G$11),0),IF(AND(ISNUMBER('1 Setup'!$C$12),ISNUMBER('1 Setup'!$G$12),ISNUMBER('1 Setup'!$D$12),'1 Setup'!$H$12*('1 Setup'!$D$12-'1 Setup'!$G$12)&gt;0),'1 Setup'!$C$12*MAX(N9,O9)*0.00000024/ABS('1 Setup'!$D$12-'1 Setup'!$G$12),0),IF(AND(ISNUMBER('1 Setup'!$C$13),ISNUMBER('1 Setup'!$G$13),ISNUMBER('1 Setup'!$D$13),'1 Setup'!$H$13*('1 Setup'!$D$13-'1 Setup'!$G$13)&gt;0),'1 Setup'!$C$13*MAX(N9,O9)*0.00000024/ABS('1 Setup'!$D$13-'1 Setup'!$G$13),0),IF(AND(ISNUMBER('1 Setup'!$C$14),ISNUMBER('1 Setup'!$G$14),ISNUMBER('1 Setup'!$D$14),'1 Setup'!$H$14*('1 Setup'!$D$14-'1 Setup'!$G$14)&gt;0),'1 Setup'!$C$14*MAX(N9,O9)*0.00000024/ABS('1 Setup'!$D$14-'1 Setup'!$G$14),0)),""),"")</f>
        <v>0.7224</v>
      </c>
      <c r="S9" s="15" t="n">
        <f aca="false">IF(B9&lt;&gt;"yes","",IFERROR(INDEX(Calculation!$G$6:$G$126,MATCH(M9,Calculation!$A$6:$A$126,0)),""))</f>
        <v>1.06</v>
      </c>
    </row>
    <row r="10" customFormat="false" ht="15" hidden="false" customHeight="false" outlineLevel="0" collapsed="false">
      <c r="A10" s="7" t="n">
        <v>4</v>
      </c>
      <c r="B10" s="7" t="str">
        <f aca="false">IF(A10&lt;=VALUE($B$4),"yes","—")</f>
        <v>—</v>
      </c>
      <c r="C10" s="10"/>
      <c r="D10" s="12"/>
      <c r="E10" s="8"/>
      <c r="F10" s="10"/>
      <c r="G10" s="13"/>
      <c r="H10" s="13"/>
      <c r="I10" s="13"/>
      <c r="J10" s="7" t="str">
        <f aca="false">IF(B10&lt;&gt;"yes","(not used)",IF(C10="Batch","duration + target VCC",IF(C10="Fed-batch","duration + target VCC + feed regime",IF(C10="Continuous","duration + feed rate + bleed rate","choose a phase type"))))</f>
        <v>(not used)</v>
      </c>
      <c r="K10" s="9" t="str">
        <f aca="false">IF(B10&lt;&gt;"yes","—",IF(C10="","⚠ choose phase type",IF(N(D10)&lt;=0,"⚠ enter duration",IF(D10&lt;&gt;INT(D10),"⚠ whole days only",IF(AND(C10&lt;&gt;"Continuous",E10=""),"⚠ enter target VCC",IF(AND(C10="Fed-batch",F10=""),"⚠ choose feed regime",IF(AND(C10="Continuous",OR(G10="",H10="")),"⚠ enter feed and bleed rate",IF(AND(C10="Continuous",N(G10)&lt;N(H10)),"⚠ feed rate below bleed rate",IF(AND(C10="Continuous",P10=""),"⚠ no growth rate – enter one","OK")))))))))</f>
        <v>—</v>
      </c>
      <c r="L10" s="11" t="str">
        <f aca="false">IF(B10="yes",M9,"")</f>
        <v/>
      </c>
      <c r="M10" s="11" t="str">
        <f aca="false">IF(B10="yes",L10+N(D10),"")</f>
        <v/>
      </c>
      <c r="N10" s="14" t="str">
        <f aca="false">IF(B10="yes",O9,"")</f>
        <v/>
      </c>
      <c r="O10" s="14" t="str">
        <f aca="false">IF(B10&lt;&gt;"yes","",IFERROR(IF(C10="Continuous",N10*EXP((P10-N(H10))*N(D10)),IF(E10="",N10,E10)),""))</f>
        <v/>
      </c>
      <c r="P10" s="15" t="str">
        <f aca="false">IF(B10&lt;&gt;"yes","",IF(C10="Continuous",IF(I10&lt;&gt;"",I10,P9),IFERROR(LN(E10/N10)/D10,"")))</f>
        <v/>
      </c>
      <c r="Q10" s="15" t="str">
        <f aca="false">IF(AND(B10="yes",C10="Continuous"),P10,"")</f>
        <v/>
      </c>
      <c r="R10" s="15" t="str">
        <f aca="false">IF(AND(B10="yes",C10="Continuous"),IFERROR(MAX(Q10,IF(AND(ISNUMBER('1 Setup'!$C$10),ISNUMBER('1 Setup'!$G$10),ISNUMBER('1 Setup'!$D$10),'1 Setup'!$H$10*('1 Setup'!$D$10-'1 Setup'!$G$10)&gt;0),'1 Setup'!$C$10*MAX(N10,O10)*0.00000024/ABS('1 Setup'!$D$10-'1 Setup'!$G$10),0),IF(AND(ISNUMBER('1 Setup'!$C$11),ISNUMBER('1 Setup'!$G$11),ISNUMBER('1 Setup'!$D$11),'1 Setup'!$H$11*('1 Setup'!$D$11-'1 Setup'!$G$11)&gt;0),'1 Setup'!$C$11*MAX(N10,O10)*0.00000024/ABS('1 Setup'!$D$11-'1 Setup'!$G$11),0),IF(AND(ISNUMBER('1 Setup'!$C$12),ISNUMBER('1 Setup'!$G$12),ISNUMBER('1 Setup'!$D$12),'1 Setup'!$H$12*('1 Setup'!$D$12-'1 Setup'!$G$12)&gt;0),'1 Setup'!$C$12*MAX(N10,O10)*0.00000024/ABS('1 Setup'!$D$12-'1 Setup'!$G$12),0),IF(AND(ISNUMBER('1 Setup'!$C$13),ISNUMBER('1 Setup'!$G$13),ISNUMBER('1 Setup'!$D$13),'1 Setup'!$H$13*('1 Setup'!$D$13-'1 Setup'!$G$13)&gt;0),'1 Setup'!$C$13*MAX(N10,O10)*0.00000024/ABS('1 Setup'!$D$13-'1 Setup'!$G$13),0),IF(AND(ISNUMBER('1 Setup'!$C$14),ISNUMBER('1 Setup'!$G$14),ISNUMBER('1 Setup'!$D$14),'1 Setup'!$H$14*('1 Setup'!$D$14-'1 Setup'!$G$14)&gt;0),'1 Setup'!$C$14*MAX(N10,O10)*0.00000024/ABS('1 Setup'!$D$14-'1 Setup'!$G$14),0)),""),"")</f>
        <v/>
      </c>
      <c r="S10" s="15" t="str">
        <f aca="false">IF(B10&lt;&gt;"yes","",IFERROR(INDEX(Calculation!$G$6:$G$126,MATCH(M10,Calculation!$A$6:$A$126,0)),""))</f>
        <v/>
      </c>
    </row>
    <row r="11" customFormat="false" ht="15" hidden="false" customHeight="false" outlineLevel="0" collapsed="false">
      <c r="A11" s="7" t="n">
        <v>5</v>
      </c>
      <c r="B11" s="7" t="str">
        <f aca="false">IF(A11&lt;=VALUE($B$4),"yes","—")</f>
        <v>—</v>
      </c>
      <c r="C11" s="10"/>
      <c r="D11" s="12"/>
      <c r="E11" s="8"/>
      <c r="F11" s="10"/>
      <c r="G11" s="13"/>
      <c r="H11" s="13"/>
      <c r="I11" s="13"/>
      <c r="J11" s="7" t="str">
        <f aca="false">IF(B11&lt;&gt;"yes","(not used)",IF(C11="Batch","duration + target VCC",IF(C11="Fed-batch","duration + target VCC + feed regime",IF(C11="Continuous","duration + feed rate + bleed rate","choose a phase type"))))</f>
        <v>(not used)</v>
      </c>
      <c r="K11" s="9" t="str">
        <f aca="false">IF(B11&lt;&gt;"yes","—",IF(C11="","⚠ choose phase type",IF(N(D11)&lt;=0,"⚠ enter duration",IF(D11&lt;&gt;INT(D11),"⚠ whole days only",IF(AND(C11&lt;&gt;"Continuous",E11=""),"⚠ enter target VCC",IF(AND(C11="Fed-batch",F11=""),"⚠ choose feed regime",IF(AND(C11="Continuous",OR(G11="",H11="")),"⚠ enter feed and bleed rate",IF(AND(C11="Continuous",N(G11)&lt;N(H11)),"⚠ feed rate below bleed rate",IF(AND(C11="Continuous",P11=""),"⚠ no growth rate – enter one","OK")))))))))</f>
        <v>—</v>
      </c>
      <c r="L11" s="11" t="str">
        <f aca="false">IF(B11="yes",M10,"")</f>
        <v/>
      </c>
      <c r="M11" s="11" t="str">
        <f aca="false">IF(B11="yes",L11+N(D11),"")</f>
        <v/>
      </c>
      <c r="N11" s="14" t="str">
        <f aca="false">IF(B11="yes",O10,"")</f>
        <v/>
      </c>
      <c r="O11" s="14" t="str">
        <f aca="false">IF(B11&lt;&gt;"yes","",IFERROR(IF(C11="Continuous",N11*EXP((P11-N(H11))*N(D11)),IF(E11="",N11,E11)),""))</f>
        <v/>
      </c>
      <c r="P11" s="15" t="str">
        <f aca="false">IF(B11&lt;&gt;"yes","",IF(C11="Continuous",IF(I11&lt;&gt;"",I11,P10),IFERROR(LN(E11/N11)/D11,"")))</f>
        <v/>
      </c>
      <c r="Q11" s="15" t="str">
        <f aca="false">IF(AND(B11="yes",C11="Continuous"),P11,"")</f>
        <v/>
      </c>
      <c r="R11" s="15" t="str">
        <f aca="false">IF(AND(B11="yes",C11="Continuous"),IFERROR(MAX(Q11,IF(AND(ISNUMBER('1 Setup'!$C$10),ISNUMBER('1 Setup'!$G$10),ISNUMBER('1 Setup'!$D$10),'1 Setup'!$H$10*('1 Setup'!$D$10-'1 Setup'!$G$10)&gt;0),'1 Setup'!$C$10*MAX(N11,O11)*0.00000024/ABS('1 Setup'!$D$10-'1 Setup'!$G$10),0),IF(AND(ISNUMBER('1 Setup'!$C$11),ISNUMBER('1 Setup'!$G$11),ISNUMBER('1 Setup'!$D$11),'1 Setup'!$H$11*('1 Setup'!$D$11-'1 Setup'!$G$11)&gt;0),'1 Setup'!$C$11*MAX(N11,O11)*0.00000024/ABS('1 Setup'!$D$11-'1 Setup'!$G$11),0),IF(AND(ISNUMBER('1 Setup'!$C$12),ISNUMBER('1 Setup'!$G$12),ISNUMBER('1 Setup'!$D$12),'1 Setup'!$H$12*('1 Setup'!$D$12-'1 Setup'!$G$12)&gt;0),'1 Setup'!$C$12*MAX(N11,O11)*0.00000024/ABS('1 Setup'!$D$12-'1 Setup'!$G$12),0),IF(AND(ISNUMBER('1 Setup'!$C$13),ISNUMBER('1 Setup'!$G$13),ISNUMBER('1 Setup'!$D$13),'1 Setup'!$H$13*('1 Setup'!$D$13-'1 Setup'!$G$13)&gt;0),'1 Setup'!$C$13*MAX(N11,O11)*0.00000024/ABS('1 Setup'!$D$13-'1 Setup'!$G$13),0),IF(AND(ISNUMBER('1 Setup'!$C$14),ISNUMBER('1 Setup'!$G$14),ISNUMBER('1 Setup'!$D$14),'1 Setup'!$H$14*('1 Setup'!$D$14-'1 Setup'!$G$14)&gt;0),'1 Setup'!$C$14*MAX(N11,O11)*0.00000024/ABS('1 Setup'!$D$14-'1 Setup'!$G$14),0)),""),"")</f>
        <v/>
      </c>
      <c r="S11" s="15" t="str">
        <f aca="false">IF(B11&lt;&gt;"yes","",IFERROR(INDEX(Calculation!$G$6:$G$126,MATCH(M11,Calculation!$A$6:$A$126,0)),""))</f>
        <v/>
      </c>
    </row>
    <row r="12" customFormat="false" ht="15" hidden="false" customHeight="false" outlineLevel="0" collapsed="false">
      <c r="A12" s="7" t="n">
        <v>6</v>
      </c>
      <c r="B12" s="7" t="str">
        <f aca="false">IF(A12&lt;=VALUE($B$4),"yes","—")</f>
        <v>—</v>
      </c>
      <c r="C12" s="10"/>
      <c r="D12" s="12"/>
      <c r="E12" s="8"/>
      <c r="F12" s="10"/>
      <c r="G12" s="13"/>
      <c r="H12" s="13"/>
      <c r="I12" s="13"/>
      <c r="J12" s="7" t="str">
        <f aca="false">IF(B12&lt;&gt;"yes","(not used)",IF(C12="Batch","duration + target VCC",IF(C12="Fed-batch","duration + target VCC + feed regime",IF(C12="Continuous","duration + feed rate + bleed rate","choose a phase type"))))</f>
        <v>(not used)</v>
      </c>
      <c r="K12" s="9" t="str">
        <f aca="false">IF(B12&lt;&gt;"yes","—",IF(C12="","⚠ choose phase type",IF(N(D12)&lt;=0,"⚠ enter duration",IF(D12&lt;&gt;INT(D12),"⚠ whole days only",IF(AND(C12&lt;&gt;"Continuous",E12=""),"⚠ enter target VCC",IF(AND(C12="Fed-batch",F12=""),"⚠ choose feed regime",IF(AND(C12="Continuous",OR(G12="",H12="")),"⚠ enter feed and bleed rate",IF(AND(C12="Continuous",N(G12)&lt;N(H12)),"⚠ feed rate below bleed rate",IF(AND(C12="Continuous",P12=""),"⚠ no growth rate – enter one","OK")))))))))</f>
        <v>—</v>
      </c>
      <c r="L12" s="11" t="str">
        <f aca="false">IF(B12="yes",M11,"")</f>
        <v/>
      </c>
      <c r="M12" s="11" t="str">
        <f aca="false">IF(B12="yes",L12+N(D12),"")</f>
        <v/>
      </c>
      <c r="N12" s="14" t="str">
        <f aca="false">IF(B12="yes",O11,"")</f>
        <v/>
      </c>
      <c r="O12" s="14" t="str">
        <f aca="false">IF(B12&lt;&gt;"yes","",IFERROR(IF(C12="Continuous",N12*EXP((P12-N(H12))*N(D12)),IF(E12="",N12,E12)),""))</f>
        <v/>
      </c>
      <c r="P12" s="15" t="str">
        <f aca="false">IF(B12&lt;&gt;"yes","",IF(C12="Continuous",IF(I12&lt;&gt;"",I12,P11),IFERROR(LN(E12/N12)/D12,"")))</f>
        <v/>
      </c>
      <c r="Q12" s="15" t="str">
        <f aca="false">IF(AND(B12="yes",C12="Continuous"),P12,"")</f>
        <v/>
      </c>
      <c r="R12" s="15" t="str">
        <f aca="false">IF(AND(B12="yes",C12="Continuous"),IFERROR(MAX(Q12,IF(AND(ISNUMBER('1 Setup'!$C$10),ISNUMBER('1 Setup'!$G$10),ISNUMBER('1 Setup'!$D$10),'1 Setup'!$H$10*('1 Setup'!$D$10-'1 Setup'!$G$10)&gt;0),'1 Setup'!$C$10*MAX(N12,O12)*0.00000024/ABS('1 Setup'!$D$10-'1 Setup'!$G$10),0),IF(AND(ISNUMBER('1 Setup'!$C$11),ISNUMBER('1 Setup'!$G$11),ISNUMBER('1 Setup'!$D$11),'1 Setup'!$H$11*('1 Setup'!$D$11-'1 Setup'!$G$11)&gt;0),'1 Setup'!$C$11*MAX(N12,O12)*0.00000024/ABS('1 Setup'!$D$11-'1 Setup'!$G$11),0),IF(AND(ISNUMBER('1 Setup'!$C$12),ISNUMBER('1 Setup'!$G$12),ISNUMBER('1 Setup'!$D$12),'1 Setup'!$H$12*('1 Setup'!$D$12-'1 Setup'!$G$12)&gt;0),'1 Setup'!$C$12*MAX(N12,O12)*0.00000024/ABS('1 Setup'!$D$12-'1 Setup'!$G$12),0),IF(AND(ISNUMBER('1 Setup'!$C$13),ISNUMBER('1 Setup'!$G$13),ISNUMBER('1 Setup'!$D$13),'1 Setup'!$H$13*('1 Setup'!$D$13-'1 Setup'!$G$13)&gt;0),'1 Setup'!$C$13*MAX(N12,O12)*0.00000024/ABS('1 Setup'!$D$13-'1 Setup'!$G$13),0),IF(AND(ISNUMBER('1 Setup'!$C$14),ISNUMBER('1 Setup'!$G$14),ISNUMBER('1 Setup'!$D$14),'1 Setup'!$H$14*('1 Setup'!$D$14-'1 Setup'!$G$14)&gt;0),'1 Setup'!$C$14*MAX(N12,O12)*0.00000024/ABS('1 Setup'!$D$14-'1 Setup'!$G$14),0)),""),"")</f>
        <v/>
      </c>
      <c r="S12" s="15" t="str">
        <f aca="false">IF(B12&lt;&gt;"yes","",IFERROR(INDEX(Calculation!$G$6:$G$126,MATCH(M12,Calculation!$A$6:$A$126,0)),""))</f>
        <v/>
      </c>
    </row>
    <row r="14" customFormat="false" ht="15" hidden="false" customHeight="false" outlineLevel="0" collapsed="false">
      <c r="A14" s="2" t="s">
        <v>82</v>
      </c>
    </row>
    <row r="15" customFormat="false" ht="15" hidden="false" customHeight="false" outlineLevel="0" collapsed="false">
      <c r="A15" s="2" t="s">
        <v>83</v>
      </c>
    </row>
  </sheetData>
  <conditionalFormatting sqref="A7:S12">
    <cfRule type="expression" priority="2" aboveAverage="0" equalAverage="0" bottom="0" percent="0" rank="0" text="" dxfId="1">
      <formula>$B7="—"</formula>
    </cfRule>
  </conditionalFormatting>
  <conditionalFormatting sqref="E7:E12">
    <cfRule type="expression" priority="3" aboveAverage="0" equalAverage="0" bottom="0" percent="0" rank="0" text="" dxfId="1">
      <formula>$C7="Continuous"</formula>
    </cfRule>
  </conditionalFormatting>
  <conditionalFormatting sqref="F7:F12">
    <cfRule type="expression" priority="4" aboveAverage="0" equalAverage="0" bottom="0" percent="0" rank="0" text="" dxfId="1">
      <formula>$C7&lt;&gt;"Fed-batch"</formula>
    </cfRule>
  </conditionalFormatting>
  <conditionalFormatting sqref="G7:I12">
    <cfRule type="expression" priority="5" aboveAverage="0" equalAverage="0" bottom="0" percent="0" rank="0" text="" dxfId="1">
      <formula>$C7&lt;&gt;"Continuous"</formula>
    </cfRule>
  </conditionalFormatting>
  <conditionalFormatting sqref="K7:K12">
    <cfRule type="expression" priority="6" aboveAverage="0" equalAverage="0" bottom="0" percent="0" rank="0" text="" dxfId="0">
      <formula>LEFT($K7,1)="⚠"</formula>
    </cfRule>
    <cfRule type="expression" priority="7" aboveAverage="0" equalAverage="0" bottom="0" percent="0" rank="0" text="" dxfId="2">
      <formula>$K7="OK"</formula>
    </cfRule>
  </conditionalFormatting>
  <conditionalFormatting sqref="E4">
    <cfRule type="expression" priority="8" aboveAverage="0" equalAverage="0" bottom="0" percent="0" rank="0" text="" dxfId="0">
      <formula>LEFT($E$4,1)="⚠"</formula>
    </cfRule>
  </conditionalFormatting>
  <dataValidations count="3">
    <dataValidation allowBlank="true" errorStyle="stop" operator="between" showDropDown="false" showErrorMessage="false" showInputMessage="false" sqref="B4" type="list">
      <formula1>"1,2,3,4,5,6"</formula1>
      <formula2>0</formula2>
    </dataValidation>
    <dataValidation allowBlank="true" errorStyle="stop" operator="between" showDropDown="false" showErrorMessage="false" showInputMessage="false" sqref="C7:C12" type="list">
      <formula1>"Batch,Fed-batch,Continuous"</formula1>
      <formula2>0</formula2>
    </dataValidation>
    <dataValidation allowBlank="true" errorStyle="stop" operator="between" showDropDown="false" showErrorMessage="false" showInputMessage="false" sqref="F7:F12" type="list">
      <formula1>"Regime A,Regime B,Regime C,Regime 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4" t="s">
        <v>86</v>
      </c>
      <c r="B4" s="4" t="s">
        <v>80</v>
      </c>
      <c r="C4" s="4" t="s">
        <v>87</v>
      </c>
      <c r="D4" s="4" t="s">
        <v>88</v>
      </c>
      <c r="E4" s="4" t="s">
        <v>89</v>
      </c>
    </row>
    <row r="5" customFormat="false" ht="15" hidden="false" customHeight="false" outlineLevel="0" collapsed="false">
      <c r="A5" s="9" t="s">
        <v>90</v>
      </c>
      <c r="B5" s="10" t="s">
        <v>91</v>
      </c>
      <c r="C5" s="10" t="s">
        <v>92</v>
      </c>
      <c r="D5" s="10" t="s">
        <v>93</v>
      </c>
      <c r="E5" s="10" t="s">
        <v>94</v>
      </c>
    </row>
    <row r="6" customFormat="false" ht="15" hidden="false" customHeight="false" outlineLevel="0" collapsed="false">
      <c r="A6" s="5" t="n">
        <v>1</v>
      </c>
      <c r="B6" s="16" t="n">
        <v>3</v>
      </c>
      <c r="C6" s="16" t="n">
        <v>2</v>
      </c>
      <c r="D6" s="16"/>
      <c r="E6" s="16"/>
    </row>
    <row r="7" customFormat="false" ht="15" hidden="false" customHeight="false" outlineLevel="0" collapsed="false">
      <c r="A7" s="5" t="n">
        <v>2</v>
      </c>
      <c r="B7" s="16" t="n">
        <v>3</v>
      </c>
      <c r="C7" s="16" t="n">
        <v>2</v>
      </c>
      <c r="D7" s="16" t="n">
        <v>5</v>
      </c>
      <c r="E7" s="16"/>
    </row>
    <row r="8" customFormat="false" ht="15" hidden="false" customHeight="false" outlineLevel="0" collapsed="false">
      <c r="A8" s="5" t="n">
        <v>3</v>
      </c>
      <c r="B8" s="16"/>
      <c r="C8" s="16" t="n">
        <v>2</v>
      </c>
      <c r="D8" s="16"/>
      <c r="E8" s="16"/>
    </row>
    <row r="9" customFormat="false" ht="15" hidden="false" customHeight="false" outlineLevel="0" collapsed="false">
      <c r="A9" s="5" t="n">
        <v>4</v>
      </c>
      <c r="B9" s="16"/>
      <c r="C9" s="16" t="n">
        <v>2</v>
      </c>
      <c r="D9" s="16" t="n">
        <v>5</v>
      </c>
      <c r="E9" s="16"/>
    </row>
    <row r="10" customFormat="false" ht="15" hidden="false" customHeight="false" outlineLevel="0" collapsed="false">
      <c r="A10" s="5" t="n">
        <v>5</v>
      </c>
      <c r="B10" s="16"/>
      <c r="C10" s="16" t="n">
        <v>2</v>
      </c>
      <c r="D10" s="16"/>
      <c r="E10" s="16"/>
    </row>
    <row r="11" customFormat="false" ht="15" hidden="false" customHeight="false" outlineLevel="0" collapsed="false">
      <c r="A11" s="5" t="n">
        <v>6</v>
      </c>
      <c r="B11" s="16"/>
      <c r="C11" s="16" t="n">
        <v>2</v>
      </c>
      <c r="D11" s="16" t="n">
        <v>5</v>
      </c>
      <c r="E11" s="16"/>
    </row>
    <row r="12" customFormat="false" ht="15" hidden="false" customHeight="false" outlineLevel="0" collapsed="false">
      <c r="A12" s="5" t="n">
        <v>7</v>
      </c>
      <c r="B12" s="16"/>
      <c r="C12" s="16" t="n">
        <v>2</v>
      </c>
      <c r="D12" s="16"/>
      <c r="E12" s="16"/>
    </row>
    <row r="13" customFormat="false" ht="15" hidden="false" customHeight="false" outlineLevel="0" collapsed="false">
      <c r="A13" s="5" t="n">
        <v>8</v>
      </c>
      <c r="B13" s="16"/>
      <c r="C13" s="16" t="n">
        <v>2</v>
      </c>
      <c r="D13" s="16" t="n">
        <v>5</v>
      </c>
      <c r="E13" s="16"/>
    </row>
    <row r="14" customFormat="false" ht="15" hidden="false" customHeight="false" outlineLevel="0" collapsed="false">
      <c r="A14" s="5" t="n">
        <v>9</v>
      </c>
      <c r="B14" s="16"/>
      <c r="C14" s="16" t="n">
        <v>2</v>
      </c>
      <c r="D14" s="16"/>
      <c r="E14" s="16"/>
    </row>
    <row r="15" customFormat="false" ht="15" hidden="false" customHeight="false" outlineLevel="0" collapsed="false">
      <c r="A15" s="5" t="n">
        <v>10</v>
      </c>
      <c r="B15" s="16"/>
      <c r="C15" s="16" t="n">
        <v>2</v>
      </c>
      <c r="D15" s="16" t="n">
        <v>5</v>
      </c>
      <c r="E15" s="16"/>
    </row>
    <row r="16" customFormat="false" ht="15" hidden="false" customHeight="false" outlineLevel="0" collapsed="false">
      <c r="A16" s="5" t="n">
        <v>11</v>
      </c>
      <c r="B16" s="16"/>
      <c r="C16" s="16" t="n">
        <v>2</v>
      </c>
      <c r="D16" s="16"/>
      <c r="E16" s="16"/>
    </row>
    <row r="17" customFormat="false" ht="15" hidden="false" customHeight="false" outlineLevel="0" collapsed="false">
      <c r="A17" s="5" t="n">
        <v>12</v>
      </c>
      <c r="B17" s="16"/>
      <c r="C17" s="16" t="n">
        <v>2</v>
      </c>
      <c r="D17" s="16" t="n">
        <v>5</v>
      </c>
      <c r="E17" s="16"/>
    </row>
    <row r="18" customFormat="false" ht="15" hidden="false" customHeight="false" outlineLevel="0" collapsed="false">
      <c r="A18" s="5" t="n">
        <v>13</v>
      </c>
      <c r="B18" s="16"/>
      <c r="C18" s="16" t="n">
        <v>2</v>
      </c>
      <c r="D18" s="16"/>
      <c r="E18" s="16"/>
    </row>
    <row r="19" customFormat="false" ht="15" hidden="false" customHeight="false" outlineLevel="0" collapsed="false">
      <c r="A19" s="5" t="n">
        <v>14</v>
      </c>
      <c r="B19" s="16"/>
      <c r="C19" s="16" t="n">
        <v>2</v>
      </c>
      <c r="D19" s="16" t="n">
        <v>5</v>
      </c>
      <c r="E19" s="16"/>
    </row>
    <row r="20" customFormat="false" ht="15" hidden="false" customHeight="false" outlineLevel="0" collapsed="false">
      <c r="A20" s="5" t="n">
        <v>15</v>
      </c>
      <c r="B20" s="16"/>
      <c r="C20" s="16" t="n">
        <v>2</v>
      </c>
      <c r="D20" s="16"/>
      <c r="E20" s="16"/>
    </row>
    <row r="21" customFormat="false" ht="15" hidden="false" customHeight="false" outlineLevel="0" collapsed="false">
      <c r="A21" s="5" t="n">
        <v>16</v>
      </c>
      <c r="B21" s="16"/>
      <c r="C21" s="16" t="n">
        <v>2</v>
      </c>
      <c r="D21" s="16" t="n">
        <v>5</v>
      </c>
      <c r="E21" s="16"/>
    </row>
    <row r="22" customFormat="false" ht="15" hidden="false" customHeight="false" outlineLevel="0" collapsed="false">
      <c r="A22" s="5" t="n">
        <v>17</v>
      </c>
      <c r="B22" s="16"/>
      <c r="C22" s="16" t="n">
        <v>2</v>
      </c>
      <c r="D22" s="16"/>
      <c r="E22" s="16"/>
    </row>
    <row r="23" customFormat="false" ht="15" hidden="false" customHeight="false" outlineLevel="0" collapsed="false">
      <c r="A23" s="5" t="n">
        <v>18</v>
      </c>
      <c r="B23" s="16"/>
      <c r="C23" s="16" t="n">
        <v>2</v>
      </c>
      <c r="D23" s="16" t="n">
        <v>5</v>
      </c>
      <c r="E23" s="16"/>
    </row>
    <row r="24" customFormat="false" ht="15" hidden="false" customHeight="false" outlineLevel="0" collapsed="false">
      <c r="A24" s="5" t="n">
        <v>19</v>
      </c>
      <c r="B24" s="16"/>
      <c r="C24" s="16" t="n">
        <v>2</v>
      </c>
      <c r="D24" s="16"/>
      <c r="E24" s="16"/>
    </row>
    <row r="25" customFormat="false" ht="15" hidden="false" customHeight="false" outlineLevel="0" collapsed="false">
      <c r="A25" s="5" t="n">
        <v>20</v>
      </c>
      <c r="B25" s="16"/>
      <c r="C25" s="16" t="n">
        <v>2</v>
      </c>
      <c r="D25" s="16" t="n">
        <v>5</v>
      </c>
      <c r="E25" s="16"/>
    </row>
    <row r="26" customFormat="false" ht="15" hidden="false" customHeight="false" outlineLevel="0" collapsed="false">
      <c r="A26" s="5" t="n">
        <v>21</v>
      </c>
      <c r="B26" s="16"/>
      <c r="C26" s="16" t="n">
        <v>2</v>
      </c>
      <c r="D26" s="16"/>
      <c r="E26" s="16"/>
    </row>
    <row r="27" customFormat="false" ht="15" hidden="false" customHeight="false" outlineLevel="0" collapsed="false">
      <c r="A27" s="5" t="n">
        <v>22</v>
      </c>
      <c r="B27" s="16"/>
      <c r="C27" s="16" t="n">
        <v>2</v>
      </c>
      <c r="D27" s="16" t="n">
        <v>5</v>
      </c>
      <c r="E27" s="16"/>
    </row>
    <row r="28" customFormat="false" ht="15" hidden="false" customHeight="false" outlineLevel="0" collapsed="false">
      <c r="A28" s="5" t="n">
        <v>23</v>
      </c>
      <c r="B28" s="16"/>
      <c r="C28" s="16" t="n">
        <v>2</v>
      </c>
      <c r="D28" s="16"/>
      <c r="E28" s="16"/>
    </row>
    <row r="29" customFormat="false" ht="15" hidden="false" customHeight="false" outlineLevel="0" collapsed="false">
      <c r="A29" s="5" t="n">
        <v>24</v>
      </c>
      <c r="B29" s="16"/>
      <c r="C29" s="16" t="n">
        <v>2</v>
      </c>
      <c r="D29" s="16" t="n">
        <v>5</v>
      </c>
      <c r="E29" s="16"/>
    </row>
    <row r="30" customFormat="false" ht="15" hidden="false" customHeight="false" outlineLevel="0" collapsed="false">
      <c r="A30" s="5" t="n">
        <v>25</v>
      </c>
      <c r="B30" s="16"/>
      <c r="C30" s="16" t="n">
        <v>2</v>
      </c>
      <c r="D30" s="16"/>
      <c r="E30" s="16"/>
    </row>
    <row r="31" customFormat="false" ht="15" hidden="false" customHeight="false" outlineLevel="0" collapsed="false">
      <c r="A31" s="5" t="n">
        <v>26</v>
      </c>
      <c r="B31" s="16"/>
      <c r="C31" s="16" t="n">
        <v>2</v>
      </c>
      <c r="D31" s="16" t="n">
        <v>5</v>
      </c>
      <c r="E31" s="16"/>
    </row>
    <row r="32" customFormat="false" ht="15" hidden="false" customHeight="false" outlineLevel="0" collapsed="false">
      <c r="A32" s="5" t="n">
        <v>27</v>
      </c>
      <c r="B32" s="16"/>
      <c r="C32" s="16" t="n">
        <v>2</v>
      </c>
      <c r="D32" s="16"/>
      <c r="E32" s="16"/>
    </row>
    <row r="33" customFormat="false" ht="15" hidden="false" customHeight="false" outlineLevel="0" collapsed="false">
      <c r="A33" s="5" t="n">
        <v>28</v>
      </c>
      <c r="B33" s="16"/>
      <c r="C33" s="16" t="n">
        <v>2</v>
      </c>
      <c r="D33" s="16" t="n">
        <v>5</v>
      </c>
      <c r="E33" s="16"/>
    </row>
    <row r="34" customFormat="false" ht="15" hidden="false" customHeight="false" outlineLevel="0" collapsed="false">
      <c r="A34" s="5" t="n">
        <v>29</v>
      </c>
      <c r="B34" s="16"/>
      <c r="C34" s="16" t="n">
        <v>2</v>
      </c>
      <c r="D34" s="16"/>
      <c r="E34" s="16"/>
    </row>
    <row r="35" customFormat="false" ht="15" hidden="false" customHeight="false" outlineLevel="0" collapsed="false">
      <c r="A35" s="5" t="n">
        <v>30</v>
      </c>
      <c r="B35" s="16"/>
      <c r="C35" s="16" t="n">
        <v>2</v>
      </c>
      <c r="D35" s="16" t="n">
        <v>5</v>
      </c>
      <c r="E35" s="16"/>
    </row>
    <row r="36" customFormat="false" ht="15" hidden="false" customHeight="false" outlineLevel="0" collapsed="false">
      <c r="A36" s="9" t="s">
        <v>95</v>
      </c>
      <c r="B36" s="17" t="n">
        <f aca="false">SUM(B6:B35)</f>
        <v>6</v>
      </c>
      <c r="C36" s="17" t="n">
        <f aca="false">SUM(C6:C35)</f>
        <v>60</v>
      </c>
      <c r="D36" s="17" t="n">
        <f aca="false">SUM(D6:D35)</f>
        <v>75</v>
      </c>
      <c r="E36" s="17" t="n">
        <f aca="false">SUM(E6:E35)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8" min="5" style="0" width="12"/>
    <col collapsed="false" customWidth="true" hidden="false" outlineLevel="0" max="9" min="9" style="0" width="18"/>
    <col collapsed="false" customWidth="true" hidden="false" outlineLevel="0" max="11" min="10" style="0" width="13"/>
    <col collapsed="false" customWidth="true" hidden="false" outlineLevel="0" max="13" min="12" style="0" width="12"/>
    <col collapsed="false" customWidth="true" hidden="false" outlineLevel="0" max="15" min="14" style="0" width="11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26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3" customFormat="false" ht="15" hidden="false" customHeight="false" outlineLevel="0" collapsed="false">
      <c r="A3" s="4" t="s">
        <v>98</v>
      </c>
      <c r="B3" s="4" t="s">
        <v>22</v>
      </c>
      <c r="C3" s="4" t="s">
        <v>23</v>
      </c>
      <c r="E3" s="4" t="s">
        <v>34</v>
      </c>
      <c r="F3" s="4" t="s">
        <v>99</v>
      </c>
      <c r="G3" s="4" t="s">
        <v>100</v>
      </c>
      <c r="H3" s="4" t="s">
        <v>37</v>
      </c>
      <c r="I3" s="4" t="s">
        <v>101</v>
      </c>
    </row>
    <row r="4" customFormat="false" ht="15" hidden="false" customHeight="false" outlineLevel="0" collapsed="false">
      <c r="A4" s="5" t="s">
        <v>102</v>
      </c>
      <c r="B4" s="11" t="n">
        <f aca="false">'2 Phases'!$D$4</f>
        <v>14</v>
      </c>
      <c r="C4" s="5" t="s">
        <v>103</v>
      </c>
      <c r="E4" s="9" t="s">
        <v>42</v>
      </c>
      <c r="F4" s="18" t="n">
        <f aca="false">IF(COUNT(Calculation!$Q$6:$Q$126)=0,"",MIN(Calculation!$Q$6:$Q$126))</f>
        <v>6.63508460734725</v>
      </c>
      <c r="G4" s="18" t="n">
        <f aca="false">IF(COUNT(Calculation!$Q$6:$Q$126)=0,"",MAX(Calculation!$Q$6:$Q$126))</f>
        <v>25</v>
      </c>
      <c r="H4" s="18" t="n">
        <f aca="false">IF('1 Setup'!$D$10="","",'1 Setup'!$D$10)</f>
        <v>5</v>
      </c>
      <c r="I4" s="7" t="str">
        <f aca="false">IF(OR(F4="",H4=""),"(no data)",IF('1 Setup'!$H$10=-1,IF(F4&lt;H4,"⚠ drops below limit","OK"),IF(G4&gt;H4,"⚠ exceeds limit","OK")))</f>
        <v>OK</v>
      </c>
    </row>
    <row r="5" customFormat="false" ht="15" hidden="false" customHeight="false" outlineLevel="0" collapsed="false">
      <c r="A5" s="9" t="s">
        <v>104</v>
      </c>
      <c r="B5" s="7" t="str">
        <f aca="false">IF(COUNTIF('2 Phases'!$K$7:$K$12,"⚠*")&gt;0,"⚠ check tab 2 Phases","OK")</f>
        <v>OK</v>
      </c>
      <c r="C5" s="5"/>
      <c r="E5" s="9" t="s">
        <v>45</v>
      </c>
      <c r="F5" s="18" t="n">
        <f aca="false">IF(COUNT(Calculation!$R$6:$R$126)=0,"",MIN(Calculation!$R$6:$R$126))</f>
        <v>0</v>
      </c>
      <c r="G5" s="18" t="n">
        <f aca="false">IF(COUNT(Calculation!$R$6:$R$126)=0,"",MAX(Calculation!$R$6:$R$126))</f>
        <v>23.8184232643909</v>
      </c>
      <c r="H5" s="18" t="n">
        <f aca="false">IF('1 Setup'!$D$11="","",'1 Setup'!$D$11)</f>
        <v>20</v>
      </c>
      <c r="I5" s="7" t="str">
        <f aca="false">IF(OR(F5="",H5=""),"(no data)",IF('1 Setup'!$H$11=-1,IF(F5&lt;H5,"⚠ drops below limit","OK"),IF(G5&gt;H5,"⚠ exceeds limit","OK")))</f>
        <v>⚠ exceeds limit</v>
      </c>
    </row>
    <row r="6" customFormat="false" ht="15" hidden="false" customHeight="false" outlineLevel="0" collapsed="false">
      <c r="A6" s="5" t="s">
        <v>105</v>
      </c>
      <c r="B6" s="14" t="n">
        <f aca="false">INDEX(Calculation!$E$6:$E$126,MATCH('2 Phases'!$D$4,Calculation!$A$6:$A$126,0))</f>
        <v>7000000</v>
      </c>
      <c r="C6" s="5" t="s">
        <v>30</v>
      </c>
      <c r="E6" s="9" t="s">
        <v>48</v>
      </c>
      <c r="F6" s="18" t="str">
        <f aca="false">IF(COUNT(Calculation!$S$6:$S$126)=0,"",MIN(Calculation!$S$6:$S$126))</f>
        <v/>
      </c>
      <c r="G6" s="18" t="str">
        <f aca="false">IF(COUNT(Calculation!$S$6:$S$126)=0,"",MAX(Calculation!$S$6:$S$126))</f>
        <v/>
      </c>
      <c r="H6" s="18" t="n">
        <f aca="false">IF('1 Setup'!$D$12="","",'1 Setup'!$D$12)</f>
        <v>0.5</v>
      </c>
      <c r="I6" s="7" t="str">
        <f aca="false">IF(OR(F6="",H6=""),"(no data)",IF('1 Setup'!$H$12=-1,IF(F6&lt;H6,"⚠ drops below limit","OK"),IF(G6&gt;H6,"⚠ exceeds limit","OK")))</f>
        <v>(no data)</v>
      </c>
    </row>
    <row r="7" customFormat="false" ht="15" hidden="false" customHeight="false" outlineLevel="0" collapsed="false">
      <c r="A7" s="5" t="s">
        <v>106</v>
      </c>
      <c r="B7" s="15" t="n">
        <f aca="false">INDEX(Calculation!$G$6:$G$126,MATCH('2 Phases'!$D$4,Calculation!$A$6:$A$126,0))</f>
        <v>1.06</v>
      </c>
      <c r="C7" s="5" t="s">
        <v>26</v>
      </c>
      <c r="E7" s="9" t="s">
        <v>50</v>
      </c>
      <c r="F7" s="18" t="str">
        <f aca="false">IF(COUNT(Calculation!$T$6:$T$126)=0,"",MIN(Calculation!$T$6:$T$126))</f>
        <v/>
      </c>
      <c r="G7" s="18" t="str">
        <f aca="false">IF(COUNT(Calculation!$T$6:$T$126)=0,"",MAX(Calculation!$T$6:$T$126))</f>
        <v/>
      </c>
      <c r="H7" s="18" t="n">
        <f aca="false">IF('1 Setup'!$D$13="","",'1 Setup'!$D$13)</f>
        <v>0.5</v>
      </c>
      <c r="I7" s="7" t="str">
        <f aca="false">IF(OR(F7="",H7=""),"(no data)",IF('1 Setup'!$H$13=-1,IF(F7&lt;H7,"⚠ drops below limit","OK"),IF(G7&gt;H7,"⚠ exceeds limit","OK")))</f>
        <v>(no data)</v>
      </c>
    </row>
    <row r="8" customFormat="false" ht="15" hidden="false" customHeight="false" outlineLevel="0" collapsed="false">
      <c r="A8" s="5" t="s">
        <v>107</v>
      </c>
      <c r="B8" s="15" t="n">
        <f aca="false">MAX(Calculation!$G$6:$G$126)</f>
        <v>1.06</v>
      </c>
      <c r="C8" s="5" t="s">
        <v>26</v>
      </c>
      <c r="E8" s="9" t="s">
        <v>52</v>
      </c>
      <c r="F8" s="18" t="str">
        <f aca="false">IF(COUNT(Calculation!$U$6:$U$126)=0,"",MIN(Calculation!$U$6:$U$126))</f>
        <v/>
      </c>
      <c r="G8" s="18" t="str">
        <f aca="false">IF(COUNT(Calculation!$U$6:$U$126)=0,"",MAX(Calculation!$U$6:$U$126))</f>
        <v/>
      </c>
      <c r="H8" s="18" t="n">
        <f aca="false">IF('1 Setup'!$D$14="","",'1 Setup'!$D$14)</f>
        <v>5</v>
      </c>
      <c r="I8" s="7" t="str">
        <f aca="false">IF(OR(F8="",H8=""),"(no data)",IF('1 Setup'!$H$14=-1,IF(F8&lt;H8,"⚠ drops below limit","OK"),IF(G8&gt;H8,"⚠ exceeds limit","OK")))</f>
        <v>(no data)</v>
      </c>
    </row>
    <row r="9" customFormat="false" ht="15" hidden="false" customHeight="false" outlineLevel="0" collapsed="false">
      <c r="A9" s="5" t="s">
        <v>108</v>
      </c>
      <c r="B9" s="15" t="n">
        <f aca="false">'1 Setup'!$B$4</f>
        <v>2</v>
      </c>
      <c r="C9" s="5" t="s">
        <v>26</v>
      </c>
    </row>
    <row r="10" customFormat="false" ht="15" hidden="false" customHeight="false" outlineLevel="0" collapsed="false">
      <c r="A10" s="9" t="s">
        <v>109</v>
      </c>
      <c r="B10" s="7" t="str">
        <f aca="false">IF(B8&gt;B9,"⚠ exceeds vessel volume","OK – "&amp;ROUND(B9-B8,2)&amp;" L headspace")</f>
        <v>OK – 0.94 L headspace</v>
      </c>
      <c r="C10" s="5"/>
    </row>
    <row r="11" customFormat="false" ht="45" hidden="false" customHeight="true" outlineLevel="0" collapsed="false">
      <c r="A11" s="5" t="s">
        <v>110</v>
      </c>
      <c r="B11" s="15" t="n">
        <f aca="false">'1 Setup'!$B$5</f>
        <v>1</v>
      </c>
      <c r="C11" s="5" t="s">
        <v>26</v>
      </c>
      <c r="E11" s="4" t="s">
        <v>111</v>
      </c>
      <c r="F11" s="4" t="s">
        <v>112</v>
      </c>
      <c r="G11" s="4" t="s">
        <v>70</v>
      </c>
      <c r="H11" s="4" t="s">
        <v>71</v>
      </c>
      <c r="I11" s="4" t="s">
        <v>113</v>
      </c>
      <c r="J11" s="4" t="s">
        <v>114</v>
      </c>
      <c r="K11" s="4" t="s">
        <v>115</v>
      </c>
      <c r="L11" s="4" t="s">
        <v>116</v>
      </c>
      <c r="M11" s="4" t="s">
        <v>117</v>
      </c>
      <c r="N11" s="4" t="s">
        <v>118</v>
      </c>
      <c r="O11" s="4" t="s">
        <v>119</v>
      </c>
      <c r="P11" s="4" t="s">
        <v>120</v>
      </c>
      <c r="Q11" s="4" t="s">
        <v>121</v>
      </c>
      <c r="R11" s="4" t="s">
        <v>69</v>
      </c>
    </row>
    <row r="12" customFormat="false" ht="15" hidden="false" customHeight="false" outlineLevel="0" collapsed="false">
      <c r="A12" s="5" t="s">
        <v>122</v>
      </c>
      <c r="B12" s="15" t="n">
        <f aca="false">SUM(Calculation!$F$6:$F$126)</f>
        <v>0.06</v>
      </c>
      <c r="C12" s="5" t="s">
        <v>26</v>
      </c>
      <c r="E12" s="11" t="n">
        <f aca="false">IF('2 Phases'!$B$7&lt;&gt;"yes","",1)</f>
        <v>1</v>
      </c>
      <c r="F12" s="5" t="str">
        <f aca="false">IF('2 Phases'!$B$7&lt;&gt;"yes","",'2 Phases'!$C$7)</f>
        <v>Batch</v>
      </c>
      <c r="G12" s="11" t="n">
        <f aca="false">IF('2 Phases'!$B$7&lt;&gt;"yes","",'2 Phases'!$L$7)</f>
        <v>0</v>
      </c>
      <c r="H12" s="11" t="n">
        <f aca="false">IF('2 Phases'!$B$7&lt;&gt;"yes","",'2 Phases'!$M$7)</f>
        <v>2</v>
      </c>
      <c r="I12" s="14" t="n">
        <f aca="false">IF('2 Phases'!$B$7&lt;&gt;"yes","",'2 Phases'!$N$7)</f>
        <v>800000</v>
      </c>
      <c r="J12" s="14" t="n">
        <f aca="false">IF('2 Phases'!$B$7&lt;&gt;"yes","",'2 Phases'!$O$7)</f>
        <v>2370000</v>
      </c>
      <c r="K12" s="15" t="n">
        <f aca="false">IF('2 Phases'!$B$7&lt;&gt;"yes","",SUMIF(Calculation!$B$6:$B$126,1,Calculation!$F$6:$F$126))</f>
        <v>0</v>
      </c>
      <c r="L12" s="15" t="n">
        <f aca="false">IF('2 Phases'!$B$7&lt;&gt;"yes","",SUMIF(Calculation!$B$6:$B$126,1,Calculation!$I$6:$I$126))</f>
        <v>0</v>
      </c>
      <c r="M12" s="15" t="n">
        <f aca="false">IF('2 Phases'!$B$7&lt;&gt;"yes","",SUMIF(Calculation!$B$6:$B$126,1,Calculation!$J$6:$J$126))</f>
        <v>0</v>
      </c>
      <c r="N12" s="15" t="n">
        <f aca="false">IF('2 Phases'!$B$7&lt;&gt;"yes","",SUMIF(Calculation!$B$6:$B$126,1,Calculation!$K$6:$K$126))</f>
        <v>0</v>
      </c>
      <c r="O12" s="14" t="n">
        <f aca="false">IF('2 Phases'!$B$7&lt;&gt;"yes","",SUMIF(Calculation!$B$6:$B$126,1,Calculation!$L$6:$L$126))</f>
        <v>0</v>
      </c>
      <c r="P12" s="18" t="n">
        <f aca="false">IF('2 Phases'!$B$7&lt;&gt;"yes","",IFERROR(INDEX(Calculation!$Q$6:$Q$126,MATCH('2 Phases'!$M$7,Calculation!$A$6:$A$126,0)),""))</f>
        <v>19.3841368119681</v>
      </c>
      <c r="Q12" s="18" t="n">
        <f aca="false">IF('2 Phases'!$B$7&lt;&gt;"yes","",IFERROR(INDEX(Calculation!$R$6:$R$126,MATCH('2 Phases'!$M$7,Calculation!$A$6:$A$126,0)),""))</f>
        <v>6.11347131861702</v>
      </c>
      <c r="R12" s="7" t="str">
        <f aca="false">IF('2 Phases'!$B$7&lt;&gt;"yes","",'2 Phases'!$K$7)</f>
        <v>OK</v>
      </c>
    </row>
    <row r="13" customFormat="false" ht="15" hidden="false" customHeight="false" outlineLevel="0" collapsed="false">
      <c r="A13" s="5" t="s">
        <v>123</v>
      </c>
      <c r="B13" s="15" t="n">
        <f aca="false">SUM(Calculation!$I$6:$I$126)</f>
        <v>7.65744</v>
      </c>
      <c r="C13" s="5" t="s">
        <v>26</v>
      </c>
      <c r="E13" s="11" t="n">
        <f aca="false">IF('2 Phases'!$B$8&lt;&gt;"yes","",2)</f>
        <v>2</v>
      </c>
      <c r="F13" s="5" t="str">
        <f aca="false">IF('2 Phases'!$B$8&lt;&gt;"yes","",'2 Phases'!$C$8)</f>
        <v>Fed-batch</v>
      </c>
      <c r="G13" s="11" t="n">
        <f aca="false">IF('2 Phases'!$B$8&lt;&gt;"yes","",'2 Phases'!$L$8)</f>
        <v>2</v>
      </c>
      <c r="H13" s="11" t="n">
        <f aca="false">IF('2 Phases'!$B$8&lt;&gt;"yes","",'2 Phases'!$M$8)</f>
        <v>4</v>
      </c>
      <c r="I13" s="14" t="n">
        <f aca="false">IF('2 Phases'!$B$8&lt;&gt;"yes","",'2 Phases'!$N$8)</f>
        <v>2370000</v>
      </c>
      <c r="J13" s="14" t="n">
        <f aca="false">IF('2 Phases'!$B$8&lt;&gt;"yes","",'2 Phases'!$O$8)</f>
        <v>7000000</v>
      </c>
      <c r="K13" s="15" t="n">
        <f aca="false">IF('2 Phases'!$B$8&lt;&gt;"yes","",SUMIF(Calculation!$B$6:$B$126,2,Calculation!$F$6:$F$126))</f>
        <v>0.06</v>
      </c>
      <c r="L13" s="15" t="n">
        <f aca="false">IF('2 Phases'!$B$8&lt;&gt;"yes","",SUMIF(Calculation!$B$6:$B$126,2,Calculation!$I$6:$I$126))</f>
        <v>0</v>
      </c>
      <c r="M13" s="15" t="n">
        <f aca="false">IF('2 Phases'!$B$8&lt;&gt;"yes","",SUMIF(Calculation!$B$6:$B$126,2,Calculation!$J$6:$J$126))</f>
        <v>0</v>
      </c>
      <c r="N13" s="15" t="n">
        <f aca="false">IF('2 Phases'!$B$8&lt;&gt;"yes","",SUMIF(Calculation!$B$6:$B$126,2,Calculation!$K$6:$K$126))</f>
        <v>0</v>
      </c>
      <c r="O13" s="14" t="n">
        <f aca="false">IF('2 Phases'!$B$8&lt;&gt;"yes","",SUMIF(Calculation!$B$6:$B$126,2,Calculation!$L$6:$L$126))</f>
        <v>0</v>
      </c>
      <c r="P13" s="18" t="n">
        <f aca="false">IF('2 Phases'!$B$8&lt;&gt;"yes","",IFERROR(INDEX(Calculation!$Q$6:$Q$126,MATCH('2 Phases'!$M$8,Calculation!$A$6:$A$126,0)),""))</f>
        <v>9.67368366421894</v>
      </c>
      <c r="Q13" s="18" t="n">
        <f aca="false">IF('2 Phases'!$B$8&lt;&gt;"yes","",IFERROR(INDEX(Calculation!$R$6:$R$126,MATCH('2 Phases'!$M$8,Calculation!$A$6:$A$126,0)),""))</f>
        <v>23.8184232643909</v>
      </c>
      <c r="R13" s="7" t="str">
        <f aca="false">IF('2 Phases'!$B$8&lt;&gt;"yes","",'2 Phases'!$K$8)</f>
        <v>OK</v>
      </c>
    </row>
    <row r="14" customFormat="false" ht="15" hidden="false" customHeight="false" outlineLevel="0" collapsed="false">
      <c r="A14" s="9" t="s">
        <v>124</v>
      </c>
      <c r="B14" s="19" t="n">
        <f aca="false">INDEX(Calculation!$M$6:$M$126,MATCH('2 Phases'!$D$4,Calculation!$A$6:$A$126,0))</f>
        <v>8.71744</v>
      </c>
      <c r="C14" s="5" t="s">
        <v>26</v>
      </c>
      <c r="E14" s="11" t="n">
        <f aca="false">IF('2 Phases'!$B$9&lt;&gt;"yes","",3)</f>
        <v>3</v>
      </c>
      <c r="F14" s="5" t="str">
        <f aca="false">IF('2 Phases'!$B$9&lt;&gt;"yes","",'2 Phases'!$C$9)</f>
        <v>Continuous</v>
      </c>
      <c r="G14" s="11" t="n">
        <f aca="false">IF('2 Phases'!$B$9&lt;&gt;"yes","",'2 Phases'!$L$9)</f>
        <v>4</v>
      </c>
      <c r="H14" s="11" t="n">
        <f aca="false">IF('2 Phases'!$B$9&lt;&gt;"yes","",'2 Phases'!$M$9)</f>
        <v>14</v>
      </c>
      <c r="I14" s="14" t="n">
        <f aca="false">IF('2 Phases'!$B$9&lt;&gt;"yes","",'2 Phases'!$N$9)</f>
        <v>7000000</v>
      </c>
      <c r="J14" s="14" t="n">
        <f aca="false">IF('2 Phases'!$B$9&lt;&gt;"yes","",'2 Phases'!$O$9)</f>
        <v>7000000</v>
      </c>
      <c r="K14" s="15" t="n">
        <f aca="false">IF('2 Phases'!$B$9&lt;&gt;"yes","",SUMIF(Calculation!$B$6:$B$126,3,Calculation!$F$6:$F$126))</f>
        <v>0</v>
      </c>
      <c r="L14" s="15" t="n">
        <f aca="false">IF('2 Phases'!$B$9&lt;&gt;"yes","",SUMIF(Calculation!$B$6:$B$126,3,Calculation!$I$6:$I$126))</f>
        <v>7.65744</v>
      </c>
      <c r="M14" s="15" t="n">
        <f aca="false">IF('2 Phases'!$B$9&lt;&gt;"yes","",SUMIF(Calculation!$B$6:$B$126,3,Calculation!$J$6:$J$126))</f>
        <v>5.74000702771385</v>
      </c>
      <c r="N14" s="15" t="n">
        <f aca="false">IF('2 Phases'!$B$9&lt;&gt;"yes","",SUMIF(Calculation!$B$6:$B$126,3,Calculation!$K$6:$K$126))</f>
        <v>1.91743297228615</v>
      </c>
      <c r="O14" s="14" t="n">
        <f aca="false">IF('2 Phases'!$B$9&lt;&gt;"yes","",SUMIF(Calculation!$B$6:$B$126,3,Calculation!$L$6:$L$126))</f>
        <v>40180049193.997</v>
      </c>
      <c r="P14" s="18" t="n">
        <f aca="false">IF('2 Phases'!$B$9&lt;&gt;"yes","",IFERROR(INDEX(Calculation!$Q$6:$Q$126,MATCH('2 Phases'!$M$9,Calculation!$A$6:$A$126,0)),""))</f>
        <v>6.63508460734725</v>
      </c>
      <c r="Q14" s="18" t="n">
        <f aca="false">IF('2 Phases'!$B$9&lt;&gt;"yes","",IFERROR(INDEX(Calculation!$R$6:$R$126,MATCH('2 Phases'!$M$9,Calculation!$A$6:$A$126,0)),""))</f>
        <v>20.0022918330551</v>
      </c>
      <c r="R14" s="7" t="str">
        <f aca="false">IF('2 Phases'!$B$9&lt;&gt;"yes","",'2 Phases'!$K$9)</f>
        <v>OK</v>
      </c>
    </row>
    <row r="15" customFormat="false" ht="15" hidden="false" customHeight="false" outlineLevel="0" collapsed="false">
      <c r="A15" s="5" t="s">
        <v>125</v>
      </c>
      <c r="B15" s="15" t="n">
        <f aca="false">INDEX(Calculation!$O$6:$O$126,MATCH('2 Phases'!$D$4,Calculation!$A$6:$A$126,0))</f>
        <v>5.74000702771385</v>
      </c>
      <c r="C15" s="5" t="s">
        <v>26</v>
      </c>
      <c r="E15" s="11" t="str">
        <f aca="false">IF('2 Phases'!$B$10&lt;&gt;"yes","",4)</f>
        <v/>
      </c>
      <c r="F15" s="5" t="str">
        <f aca="false">IF('2 Phases'!$B$10&lt;&gt;"yes","",'2 Phases'!$C$10)</f>
        <v/>
      </c>
      <c r="G15" s="11" t="str">
        <f aca="false">IF('2 Phases'!$B$10&lt;&gt;"yes","",'2 Phases'!$L$10)</f>
        <v/>
      </c>
      <c r="H15" s="11" t="str">
        <f aca="false">IF('2 Phases'!$B$10&lt;&gt;"yes","",'2 Phases'!$M$10)</f>
        <v/>
      </c>
      <c r="I15" s="14" t="str">
        <f aca="false">IF('2 Phases'!$B$10&lt;&gt;"yes","",'2 Phases'!$N$10)</f>
        <v/>
      </c>
      <c r="J15" s="14" t="str">
        <f aca="false">IF('2 Phases'!$B$10&lt;&gt;"yes","",'2 Phases'!$O$10)</f>
        <v/>
      </c>
      <c r="K15" s="15" t="str">
        <f aca="false">IF('2 Phases'!$B$10&lt;&gt;"yes","",SUMIF(Calculation!$B$6:$B$126,4,Calculation!$F$6:$F$126))</f>
        <v/>
      </c>
      <c r="L15" s="15" t="str">
        <f aca="false">IF('2 Phases'!$B$10&lt;&gt;"yes","",SUMIF(Calculation!$B$6:$B$126,4,Calculation!$I$6:$I$126))</f>
        <v/>
      </c>
      <c r="M15" s="15" t="str">
        <f aca="false">IF('2 Phases'!$B$10&lt;&gt;"yes","",SUMIF(Calculation!$B$6:$B$126,4,Calculation!$J$6:$J$126))</f>
        <v/>
      </c>
      <c r="N15" s="15" t="str">
        <f aca="false">IF('2 Phases'!$B$10&lt;&gt;"yes","",SUMIF(Calculation!$B$6:$B$126,4,Calculation!$K$6:$K$126))</f>
        <v/>
      </c>
      <c r="O15" s="14" t="str">
        <f aca="false">IF('2 Phases'!$B$10&lt;&gt;"yes","",SUMIF(Calculation!$B$6:$B$126,4,Calculation!$L$6:$L$126))</f>
        <v/>
      </c>
      <c r="P15" s="18" t="str">
        <f aca="false">IF('2 Phases'!$B$10&lt;&gt;"yes","",IFERROR(INDEX(Calculation!$Q$6:$Q$126,MATCH('2 Phases'!$M$10,Calculation!$A$6:$A$126,0)),""))</f>
        <v/>
      </c>
      <c r="Q15" s="18" t="str">
        <f aca="false">IF('2 Phases'!$B$10&lt;&gt;"yes","",IFERROR(INDEX(Calculation!$R$6:$R$126,MATCH('2 Phases'!$M$10,Calculation!$A$6:$A$126,0)),""))</f>
        <v/>
      </c>
      <c r="R15" s="7" t="str">
        <f aca="false">IF('2 Phases'!$B$10&lt;&gt;"yes","",'2 Phases'!$K$10)</f>
        <v/>
      </c>
    </row>
    <row r="16" customFormat="false" ht="15" hidden="false" customHeight="false" outlineLevel="0" collapsed="false">
      <c r="A16" s="5" t="s">
        <v>126</v>
      </c>
      <c r="B16" s="15" t="n">
        <f aca="false">INDEX(Calculation!$N$6:$N$126,MATCH('2 Phases'!$D$4,Calculation!$A$6:$A$126,0))</f>
        <v>1.91743297228615</v>
      </c>
      <c r="C16" s="5" t="s">
        <v>26</v>
      </c>
      <c r="E16" s="11" t="str">
        <f aca="false">IF('2 Phases'!$B$11&lt;&gt;"yes","",5)</f>
        <v/>
      </c>
      <c r="F16" s="5" t="str">
        <f aca="false">IF('2 Phases'!$B$11&lt;&gt;"yes","",'2 Phases'!$C$11)</f>
        <v/>
      </c>
      <c r="G16" s="11" t="str">
        <f aca="false">IF('2 Phases'!$B$11&lt;&gt;"yes","",'2 Phases'!$L$11)</f>
        <v/>
      </c>
      <c r="H16" s="11" t="str">
        <f aca="false">IF('2 Phases'!$B$11&lt;&gt;"yes","",'2 Phases'!$M$11)</f>
        <v/>
      </c>
      <c r="I16" s="14" t="str">
        <f aca="false">IF('2 Phases'!$B$11&lt;&gt;"yes","",'2 Phases'!$N$11)</f>
        <v/>
      </c>
      <c r="J16" s="14" t="str">
        <f aca="false">IF('2 Phases'!$B$11&lt;&gt;"yes","",'2 Phases'!$O$11)</f>
        <v/>
      </c>
      <c r="K16" s="15" t="str">
        <f aca="false">IF('2 Phases'!$B$11&lt;&gt;"yes","",SUMIF(Calculation!$B$6:$B$126,5,Calculation!$F$6:$F$126))</f>
        <v/>
      </c>
      <c r="L16" s="15" t="str">
        <f aca="false">IF('2 Phases'!$B$11&lt;&gt;"yes","",SUMIF(Calculation!$B$6:$B$126,5,Calculation!$I$6:$I$126))</f>
        <v/>
      </c>
      <c r="M16" s="15" t="str">
        <f aca="false">IF('2 Phases'!$B$11&lt;&gt;"yes","",SUMIF(Calculation!$B$6:$B$126,5,Calculation!$J$6:$J$126))</f>
        <v/>
      </c>
      <c r="N16" s="15" t="str">
        <f aca="false">IF('2 Phases'!$B$11&lt;&gt;"yes","",SUMIF(Calculation!$B$6:$B$126,5,Calculation!$K$6:$K$126))</f>
        <v/>
      </c>
      <c r="O16" s="14" t="str">
        <f aca="false">IF('2 Phases'!$B$11&lt;&gt;"yes","",SUMIF(Calculation!$B$6:$B$126,5,Calculation!$L$6:$L$126))</f>
        <v/>
      </c>
      <c r="P16" s="18" t="str">
        <f aca="false">IF('2 Phases'!$B$11&lt;&gt;"yes","",IFERROR(INDEX(Calculation!$Q$6:$Q$126,MATCH('2 Phases'!$M$11,Calculation!$A$6:$A$126,0)),""))</f>
        <v/>
      </c>
      <c r="Q16" s="18" t="str">
        <f aca="false">IF('2 Phases'!$B$11&lt;&gt;"yes","",IFERROR(INDEX(Calculation!$R$6:$R$126,MATCH('2 Phases'!$M$11,Calculation!$A$6:$A$126,0)),""))</f>
        <v/>
      </c>
      <c r="R16" s="7" t="str">
        <f aca="false">IF('2 Phases'!$B$11&lt;&gt;"yes","",'2 Phases'!$K$11)</f>
        <v/>
      </c>
    </row>
    <row r="17" customFormat="false" ht="15" hidden="false" customHeight="false" outlineLevel="0" collapsed="false">
      <c r="A17" s="5" t="s">
        <v>127</v>
      </c>
      <c r="B17" s="14" t="n">
        <f aca="false">'1 Setup'!$B$6*'1 Setup'!$B$5*1000</f>
        <v>800000000</v>
      </c>
      <c r="C17" s="5" t="s">
        <v>128</v>
      </c>
      <c r="E17" s="11" t="str">
        <f aca="false">IF('2 Phases'!$B$12&lt;&gt;"yes","",6)</f>
        <v/>
      </c>
      <c r="F17" s="5" t="str">
        <f aca="false">IF('2 Phases'!$B$12&lt;&gt;"yes","",'2 Phases'!$C$12)</f>
        <v/>
      </c>
      <c r="G17" s="11" t="str">
        <f aca="false">IF('2 Phases'!$B$12&lt;&gt;"yes","",'2 Phases'!$L$12)</f>
        <v/>
      </c>
      <c r="H17" s="11" t="str">
        <f aca="false">IF('2 Phases'!$B$12&lt;&gt;"yes","",'2 Phases'!$M$12)</f>
        <v/>
      </c>
      <c r="I17" s="14" t="str">
        <f aca="false">IF('2 Phases'!$B$12&lt;&gt;"yes","",'2 Phases'!$N$12)</f>
        <v/>
      </c>
      <c r="J17" s="14" t="str">
        <f aca="false">IF('2 Phases'!$B$12&lt;&gt;"yes","",'2 Phases'!$O$12)</f>
        <v/>
      </c>
      <c r="K17" s="15" t="str">
        <f aca="false">IF('2 Phases'!$B$12&lt;&gt;"yes","",SUMIF(Calculation!$B$6:$B$126,6,Calculation!$F$6:$F$126))</f>
        <v/>
      </c>
      <c r="L17" s="15" t="str">
        <f aca="false">IF('2 Phases'!$B$12&lt;&gt;"yes","",SUMIF(Calculation!$B$6:$B$126,6,Calculation!$I$6:$I$126))</f>
        <v/>
      </c>
      <c r="M17" s="15" t="str">
        <f aca="false">IF('2 Phases'!$B$12&lt;&gt;"yes","",SUMIF(Calculation!$B$6:$B$126,6,Calculation!$J$6:$J$126))</f>
        <v/>
      </c>
      <c r="N17" s="15" t="str">
        <f aca="false">IF('2 Phases'!$B$12&lt;&gt;"yes","",SUMIF(Calculation!$B$6:$B$126,6,Calculation!$K$6:$K$126))</f>
        <v/>
      </c>
      <c r="O17" s="14" t="str">
        <f aca="false">IF('2 Phases'!$B$12&lt;&gt;"yes","",SUMIF(Calculation!$B$6:$B$126,6,Calculation!$L$6:$L$126))</f>
        <v/>
      </c>
      <c r="P17" s="18" t="str">
        <f aca="false">IF('2 Phases'!$B$12&lt;&gt;"yes","",IFERROR(INDEX(Calculation!$Q$6:$Q$126,MATCH('2 Phases'!$M$12,Calculation!$A$6:$A$126,0)),""))</f>
        <v/>
      </c>
      <c r="Q17" s="18" t="str">
        <f aca="false">IF('2 Phases'!$B$12&lt;&gt;"yes","",IFERROR(INDEX(Calculation!$R$6:$R$126,MATCH('2 Phases'!$M$12,Calculation!$A$6:$A$126,0)),""))</f>
        <v/>
      </c>
      <c r="R17" s="7" t="str">
        <f aca="false">IF('2 Phases'!$B$12&lt;&gt;"yes","",'2 Phases'!$K$12)</f>
        <v/>
      </c>
    </row>
    <row r="18" customFormat="false" ht="15" hidden="false" customHeight="false" outlineLevel="0" collapsed="false">
      <c r="A18" s="5" t="s">
        <v>129</v>
      </c>
      <c r="B18" s="14" t="n">
        <f aca="false">B6*B7*1000</f>
        <v>7420000000</v>
      </c>
      <c r="C18" s="5" t="s">
        <v>128</v>
      </c>
    </row>
    <row r="19" customFormat="false" ht="15" hidden="false" customHeight="false" outlineLevel="0" collapsed="false">
      <c r="A19" s="5" t="s">
        <v>119</v>
      </c>
      <c r="B19" s="14" t="n">
        <f aca="false">INDEX(Calculation!$P$6:$P$126,MATCH('2 Phases'!$D$4,Calculation!$A$6:$A$126,0))</f>
        <v>40180049193.997</v>
      </c>
      <c r="C19" s="5" t="s">
        <v>128</v>
      </c>
    </row>
    <row r="20" customFormat="false" ht="15" hidden="false" customHeight="false" outlineLevel="0" collapsed="false">
      <c r="A20" s="9" t="s">
        <v>130</v>
      </c>
      <c r="B20" s="20" t="n">
        <f aca="false">B18+B19-B17</f>
        <v>46800049193.997</v>
      </c>
      <c r="C20" s="5" t="s">
        <v>128</v>
      </c>
    </row>
    <row r="21" customFormat="false" ht="15" hidden="false" customHeight="false" outlineLevel="0" collapsed="false">
      <c r="A21" s="5" t="s">
        <v>131</v>
      </c>
      <c r="B21" s="18" t="n">
        <f aca="false">B18*'1 Setup'!$B$7/1000000000</f>
        <v>14.84</v>
      </c>
      <c r="C21" s="5" t="s">
        <v>132</v>
      </c>
    </row>
    <row r="22" customFormat="false" ht="15" hidden="false" customHeight="false" outlineLevel="0" collapsed="false">
      <c r="A22" s="5" t="s">
        <v>133</v>
      </c>
      <c r="B22" s="18" t="n">
        <f aca="false">B19*'1 Setup'!$B$7/1000000000</f>
        <v>80.3600983879939</v>
      </c>
      <c r="C22" s="5" t="s">
        <v>132</v>
      </c>
    </row>
    <row r="23" customFormat="false" ht="15" hidden="false" customHeight="false" outlineLevel="0" collapsed="false">
      <c r="A23" s="9" t="s">
        <v>134</v>
      </c>
      <c r="B23" s="21" t="n">
        <f aca="false">B20*'1 Setup'!$B$7/1000000000</f>
        <v>93.6000983879939</v>
      </c>
      <c r="C23" s="5" t="s">
        <v>132</v>
      </c>
    </row>
    <row r="26" customFormat="false" ht="15" hidden="false" customHeight="false" outlineLevel="0" collapsed="false">
      <c r="A26" s="2" t="s">
        <v>135</v>
      </c>
    </row>
  </sheetData>
  <conditionalFormatting sqref="B4:B23">
    <cfRule type="expression" priority="2" aboveAverage="0" equalAverage="0" bottom="0" percent="0" rank="0" text="" dxfId="0">
      <formula>LEFT(B4,1)="⚠"</formula>
    </cfRule>
  </conditionalFormatting>
  <conditionalFormatting sqref="B5">
    <cfRule type="expression" priority="3" aboveAverage="0" equalAverage="0" bottom="0" percent="0" rank="0" text="" dxfId="2">
      <formula>$B$5="OK"</formula>
    </cfRule>
  </conditionalFormatting>
  <conditionalFormatting sqref="I4:I8">
    <cfRule type="expression" priority="4" aboveAverage="0" equalAverage="0" bottom="0" percent="0" rank="0" text="" dxfId="0">
      <formula>LEFT(I4,1)="⚠"</formula>
    </cfRule>
    <cfRule type="expression" priority="5" aboveAverage="0" equalAverage="0" bottom="0" percent="0" rank="0" text="" dxfId="2">
      <formula>$I4="OK"</formula>
    </cfRule>
  </conditionalFormatting>
  <conditionalFormatting sqref="R12:R17">
    <cfRule type="expression" priority="6" aboveAverage="0" equalAverage="0" bottom="0" percent="0" rank="0" text="" dxfId="0">
      <formula>LEFT($R12,1)="⚠"</formula>
    </cfRule>
    <cfRule type="expression" priority="7" aboveAverage="0" equalAverage="0" bottom="0" percent="0" rank="0" text="" dxfId="2">
      <formula>$R12="OK"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25" min="4" style="0" width="12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P3" s="9" t="s">
        <v>138</v>
      </c>
      <c r="Q3" s="5" t="n">
        <f aca="false">IF('1 Setup'!$D$10="","",'1 Setup'!$D$10)</f>
        <v>5</v>
      </c>
      <c r="R3" s="5" t="n">
        <f aca="false">IF('1 Setup'!$D$11="","",'1 Setup'!$D$11)</f>
        <v>20</v>
      </c>
      <c r="S3" s="5" t="n">
        <f aca="false">IF('1 Setup'!$D$12="","",'1 Setup'!$D$12)</f>
        <v>0.5</v>
      </c>
      <c r="T3" s="5" t="n">
        <f aca="false">IF('1 Setup'!$D$13="","",'1 Setup'!$D$13)</f>
        <v>0.5</v>
      </c>
      <c r="U3" s="5" t="n">
        <f aca="false">IF('1 Setup'!$D$14="","",'1 Setup'!$D$14)</f>
        <v>5</v>
      </c>
    </row>
    <row r="4" customFormat="false" ht="15" hidden="false" customHeight="false" outlineLevel="0" collapsed="false">
      <c r="P4" s="9" t="s">
        <v>139</v>
      </c>
      <c r="Q4" s="5" t="n">
        <f aca="false">'1 Setup'!$H$10</f>
        <v>-1</v>
      </c>
      <c r="R4" s="5" t="n">
        <f aca="false">'1 Setup'!$H$11</f>
        <v>1</v>
      </c>
      <c r="S4" s="5" t="n">
        <f aca="false">'1 Setup'!$H$12</f>
        <v>-1</v>
      </c>
      <c r="T4" s="5" t="n">
        <f aca="false">'1 Setup'!$H$13</f>
        <v>-1</v>
      </c>
      <c r="U4" s="5" t="n">
        <f aca="false">'1 Setup'!$H$14</f>
        <v>1</v>
      </c>
    </row>
    <row r="5" customFormat="false" ht="45" hidden="false" customHeight="true" outlineLevel="0" collapsed="false">
      <c r="A5" s="4" t="s">
        <v>140</v>
      </c>
      <c r="B5" s="4" t="s">
        <v>141</v>
      </c>
      <c r="C5" s="4" t="s">
        <v>61</v>
      </c>
      <c r="D5" s="4" t="s">
        <v>142</v>
      </c>
      <c r="E5" s="4" t="s">
        <v>143</v>
      </c>
      <c r="F5" s="4" t="s">
        <v>144</v>
      </c>
      <c r="G5" s="4" t="s">
        <v>145</v>
      </c>
      <c r="H5" s="4" t="s">
        <v>146</v>
      </c>
      <c r="I5" s="4" t="s">
        <v>147</v>
      </c>
      <c r="J5" s="4" t="s">
        <v>117</v>
      </c>
      <c r="K5" s="4" t="s">
        <v>118</v>
      </c>
      <c r="L5" s="4" t="s">
        <v>119</v>
      </c>
      <c r="M5" s="4" t="s">
        <v>148</v>
      </c>
      <c r="N5" s="4" t="s">
        <v>149</v>
      </c>
      <c r="O5" s="4" t="s">
        <v>150</v>
      </c>
      <c r="P5" s="4" t="s">
        <v>151</v>
      </c>
      <c r="Q5" s="4" t="s">
        <v>152</v>
      </c>
      <c r="R5" s="4" t="s">
        <v>153</v>
      </c>
      <c r="S5" s="4" t="s">
        <v>154</v>
      </c>
      <c r="T5" s="4" t="s">
        <v>155</v>
      </c>
      <c r="U5" s="4" t="s">
        <v>156</v>
      </c>
      <c r="V5" s="4" t="s">
        <v>157</v>
      </c>
      <c r="W5" s="4" t="s">
        <v>158</v>
      </c>
      <c r="X5" s="4" t="s">
        <v>159</v>
      </c>
      <c r="Y5" s="4" t="s">
        <v>160</v>
      </c>
    </row>
    <row r="6" customFormat="false" ht="15" hidden="false" customHeight="false" outlineLevel="0" collapsed="false">
      <c r="A6" s="7" t="n">
        <v>0</v>
      </c>
      <c r="B6" s="7" t="n">
        <f aca="false">IF(A6&gt;'2 Phases'!$D$4,"",IF(A6=0,1,COUNTIF('2 Phases'!$M$7:$M$12,"&lt;"&amp;A6)+1))</f>
        <v>1</v>
      </c>
      <c r="C6" s="7" t="str">
        <f aca="false">IF($B6="","",INDEX('2 Phases'!$C$7:$C$12,B6))</f>
        <v>Batch</v>
      </c>
      <c r="D6" s="7" t="n">
        <f aca="false">IF($B6="","",A6-INDEX('2 Phases'!$L$7:$L$12,B6))</f>
        <v>0</v>
      </c>
      <c r="E6" s="14" t="n">
        <f aca="false">'1 Setup'!$B$6</f>
        <v>800000</v>
      </c>
      <c r="F6" s="15" t="n">
        <v>0</v>
      </c>
      <c r="G6" s="15" t="n">
        <f aca="false">'1 Setup'!$B$5</f>
        <v>1</v>
      </c>
      <c r="H6" s="14"/>
      <c r="I6" s="15" t="n">
        <v>0</v>
      </c>
      <c r="J6" s="15" t="n">
        <v>0</v>
      </c>
      <c r="K6" s="15" t="n">
        <v>0</v>
      </c>
      <c r="L6" s="14" t="n">
        <v>0</v>
      </c>
      <c r="M6" s="15" t="n">
        <f aca="false">G6</f>
        <v>1</v>
      </c>
      <c r="N6" s="15" t="n">
        <v>0</v>
      </c>
      <c r="O6" s="15" t="n">
        <v>0</v>
      </c>
      <c r="P6" s="14" t="n">
        <v>0</v>
      </c>
      <c r="Q6" s="18" t="n">
        <f aca="false">IF('1 Setup'!$E$10="","",'1 Setup'!$E$10)</f>
        <v>25</v>
      </c>
      <c r="R6" s="18" t="n">
        <f aca="false">IF('1 Setup'!$E$11="","",'1 Setup'!$E$11)</f>
        <v>0</v>
      </c>
      <c r="S6" s="18" t="str">
        <f aca="false">IF('1 Setup'!$E$12="","",'1 Setup'!$E$12)</f>
        <v/>
      </c>
      <c r="T6" s="18" t="str">
        <f aca="false">IF('1 Setup'!$E$13="","",'1 Setup'!$E$13)</f>
        <v/>
      </c>
      <c r="U6" s="18" t="str">
        <f aca="false">IF('1 Setup'!$E$14="","",'1 Setup'!$E$14)</f>
        <v/>
      </c>
      <c r="V6" s="18" t="n">
        <f aca="false">IF($B6="","",E6/1000000*'1 Setup'!$B$7)</f>
        <v>1.6</v>
      </c>
      <c r="W6" s="18" t="n">
        <f aca="false">IF($B6="","",V6*G6)</f>
        <v>1.6</v>
      </c>
      <c r="X6" s="18" t="n">
        <f aca="false">IF($B6="","",P6*'1 Setup'!$B$7/1000000000)</f>
        <v>0</v>
      </c>
      <c r="Y6" s="18" t="n">
        <f aca="false">IF($B6="","",L6*'1 Setup'!$B$7/1000000000)</f>
        <v>0</v>
      </c>
    </row>
    <row r="7" customFormat="false" ht="15" hidden="false" customHeight="false" outlineLevel="0" collapsed="false">
      <c r="A7" s="7" t="n">
        <v>1</v>
      </c>
      <c r="B7" s="7" t="n">
        <f aca="false">IF(A7&gt;'2 Phases'!$D$4,"",IF(A7=0,1,COUNTIF('2 Phases'!$M$7:$M$12,"&lt;"&amp;A7)+1))</f>
        <v>1</v>
      </c>
      <c r="C7" s="7" t="str">
        <f aca="false">IF($B7="","",INDEX('2 Phases'!$C$7:$C$12,B7))</f>
        <v>Batch</v>
      </c>
      <c r="D7" s="7" t="n">
        <f aca="false">IF($B7="","",A7-INDEX('2 Phases'!$L$7:$L$12,B7))</f>
        <v>1</v>
      </c>
      <c r="E7" s="14" t="n">
        <f aca="false">IF($B7="","",IFERROR(IF(C7="Continuous",INDEX('2 Phases'!$N$7:$N$12,B7)*EXP((INDEX('2 Phases'!$P$7:$P$12,B7)-N(INDEX('2 Phases'!$H$7:$H$12,B7)))*D7),INDEX('2 Phases'!$N$7:$N$12,B7)*(IF(INDEX('2 Phases'!$E$7:$E$12,B7)="",INDEX('2 Phases'!$N$7:$N$12,B7),INDEX('2 Phases'!$E$7:$E$12,B7))/INDEX('2 Phases'!$N$7:$N$12,B7))^(D7/INDEX('2 Phases'!$D$7:$D$12,B7))),""))</f>
        <v>1376953.15824468</v>
      </c>
      <c r="F7" s="15" t="n">
        <f aca="false">IF(OR($B7="",C7&lt;&gt;"Fed-batch",D7=0),0,IFERROR(N(INDEX('3 Feed regimes'!$B$6:$E$35,D7,MATCH(INDEX('2 Phases'!$F$7:$F$12,B7),'3 Feed regimes'!$B$4:$E$4,0)))*'1 Setup'!$B$5/100,0))</f>
        <v>0</v>
      </c>
      <c r="G7" s="15" t="n">
        <f aca="false">IF($B7="","",G6+F7)</f>
        <v>1</v>
      </c>
      <c r="H7" s="14" t="n">
        <f aca="false">IF($B7="","",(E6+E7)/2)</f>
        <v>1088476.57912234</v>
      </c>
      <c r="I7" s="15" t="n">
        <f aca="false">IF($B7="","",IF(C7="Continuous",N(INDEX('2 Phases'!$G$7:$G$12,B7))*G6,0))</f>
        <v>0</v>
      </c>
      <c r="J7" s="15" t="n">
        <f aca="false">IF($B7="","",IF(C7="Continuous",N(INDEX('2 Phases'!$H$7:$H$12,B7))*G6,0))</f>
        <v>0</v>
      </c>
      <c r="K7" s="15" t="n">
        <f aca="false">IF($B7="","",I7-J7)</f>
        <v>0</v>
      </c>
      <c r="L7" s="14" t="n">
        <f aca="false">IF($B7="","",J7*1000*H7)</f>
        <v>0</v>
      </c>
      <c r="M7" s="15" t="n">
        <f aca="false">IF($B7="","",M6+F7+I7)</f>
        <v>1</v>
      </c>
      <c r="N7" s="15" t="n">
        <f aca="false">IF($B7="","",N6+K7)</f>
        <v>0</v>
      </c>
      <c r="O7" s="15" t="n">
        <f aca="false">IF($B7="","",O6+J7)</f>
        <v>0</v>
      </c>
      <c r="P7" s="14" t="n">
        <f aca="false">IF($B7="","",P6+L7)</f>
        <v>0</v>
      </c>
      <c r="Q7" s="18" t="n">
        <f aca="false">IF(OR($B7="",Q6="",'1 Setup'!$C$10=""),"",IF(AND($C7="Continuous",N(INDEX('2 Phases'!$G$7:$G$12,B7))&gt;0),IF('1 Setup'!$G$10="","",MAX(0,('1 Setup'!$G$10+('1 Setup'!$H$10*'1 Setup'!$C$10*0.00000024*$H7)/N(INDEX('2 Phases'!$G$7:$G$12,B7)))+(((Q6*($G6-$F6)+N('1 Setup'!$F$10)*$F6)/$G6)-('1 Setup'!$G$10+('1 Setup'!$H$10*'1 Setup'!$C$10*0.00000024*$H7)/N(INDEX('2 Phases'!$G$7:$G$12,B7))))*EXP(-N(INDEX('2 Phases'!$G$7:$G$12,B7))))),MAX(0,((Q6*($G6-$F6)+N('1 Setup'!$F$10)*$F6)/$G6)+('1 Setup'!$H$10*'1 Setup'!$C$10*0.00000024*$H7))))</f>
        <v>22.936248405984</v>
      </c>
      <c r="R7" s="18" t="n">
        <f aca="false">IF(OR($B7="",R6="",'1 Setup'!$C$11=""),"",IF(AND($C7="Continuous",N(INDEX('2 Phases'!$G$7:$G$12,B7))&gt;0),IF('1 Setup'!$G$11="","",MAX(0,('1 Setup'!$G$11+('1 Setup'!$H$11*'1 Setup'!$C$11*0.00000024*$H7)/N(INDEX('2 Phases'!$G$7:$G$12,B7)))+(((R6*($G6-$F6)+N('1 Setup'!$F$11)*$F6)/$G6)-('1 Setup'!$G$11+('1 Setup'!$H$11*'1 Setup'!$C$11*0.00000024*$H7)/N(INDEX('2 Phases'!$G$7:$G$12,B7))))*EXP(-N(INDEX('2 Phases'!$G$7:$G$12,B7))))),MAX(0,((R6*($G6-$F6)+N('1 Setup'!$F$11)*$F6)/$G6)+('1 Setup'!$H$11*'1 Setup'!$C$11*0.00000024*$H7))))</f>
        <v>2.24661565930851</v>
      </c>
      <c r="S7" s="18" t="str">
        <f aca="false">IF(OR($B7="",S6="",'1 Setup'!$C$12=""),"",IF(AND($C7="Continuous",N(INDEX('2 Phases'!$G$7:$G$12,B7))&gt;0),IF('1 Setup'!$G$12="","",MAX(0,('1 Setup'!$G$12+('1 Setup'!$H$12*'1 Setup'!$C$12*0.00000024*$H7)/N(INDEX('2 Phases'!$G$7:$G$12,B7)))+(((S6*($G6-$F6)+N('1 Setup'!$F$12)*$F6)/$G6)-('1 Setup'!$G$12+('1 Setup'!$H$12*'1 Setup'!$C$12*0.00000024*$H7)/N(INDEX('2 Phases'!$G$7:$G$12,B7))))*EXP(-N(INDEX('2 Phases'!$G$7:$G$12,B7))))),MAX(0,((S6*($G6-$F6)+N('1 Setup'!$F$12)*$F6)/$G6)+('1 Setup'!$H$12*'1 Setup'!$C$12*0.00000024*$H7))))</f>
        <v/>
      </c>
      <c r="T7" s="18" t="str">
        <f aca="false">IF(OR($B7="",T6="",'1 Setup'!$C$13=""),"",IF(AND($C7="Continuous",N(INDEX('2 Phases'!$G$7:$G$12,B7))&gt;0),IF('1 Setup'!$G$13="","",MAX(0,('1 Setup'!$G$13+('1 Setup'!$H$13*'1 Setup'!$C$13*0.00000024*$H7)/N(INDEX('2 Phases'!$G$7:$G$12,B7)))+(((T6*($G6-$F6)+N('1 Setup'!$F$13)*$F6)/$G6)-('1 Setup'!$G$13+('1 Setup'!$H$13*'1 Setup'!$C$13*0.00000024*$H7)/N(INDEX('2 Phases'!$G$7:$G$12,B7))))*EXP(-N(INDEX('2 Phases'!$G$7:$G$12,B7))))),MAX(0,((T6*($G6-$F6)+N('1 Setup'!$F$13)*$F6)/$G6)+('1 Setup'!$H$13*'1 Setup'!$C$13*0.00000024*$H7))))</f>
        <v/>
      </c>
      <c r="U7" s="18" t="str">
        <f aca="false">IF(OR($B7="",U6="",'1 Setup'!$C$14=""),"",IF(AND($C7="Continuous",N(INDEX('2 Phases'!$G$7:$G$12,B7))&gt;0),IF('1 Setup'!$G$14="","",MAX(0,('1 Setup'!$G$14+('1 Setup'!$H$14*'1 Setup'!$C$14*0.00000024*$H7)/N(INDEX('2 Phases'!$G$7:$G$12,B7)))+(((U6*($G6-$F6)+N('1 Setup'!$F$14)*$F6)/$G6)-('1 Setup'!$G$14+('1 Setup'!$H$14*'1 Setup'!$C$14*0.00000024*$H7)/N(INDEX('2 Phases'!$G$7:$G$12,B7))))*EXP(-N(INDEX('2 Phases'!$G$7:$G$12,B7))))),MAX(0,((U6*($G6-$F6)+N('1 Setup'!$F$14)*$F6)/$G6)+('1 Setup'!$H$14*'1 Setup'!$C$14*0.00000024*$H7))))</f>
        <v/>
      </c>
      <c r="V7" s="18" t="n">
        <f aca="false">IF($B7="","",E7/1000000*'1 Setup'!$B$7)</f>
        <v>2.75390631648936</v>
      </c>
      <c r="W7" s="18" t="n">
        <f aca="false">IF($B7="","",V7*G7)</f>
        <v>2.75390631648936</v>
      </c>
      <c r="X7" s="18" t="n">
        <f aca="false">IF($B7="","",P7*'1 Setup'!$B$7/1000000000)</f>
        <v>0</v>
      </c>
      <c r="Y7" s="18" t="n">
        <f aca="false">IF($B7="","",L7*'1 Setup'!$B$7/1000000000)</f>
        <v>0</v>
      </c>
    </row>
    <row r="8" customFormat="false" ht="15" hidden="false" customHeight="false" outlineLevel="0" collapsed="false">
      <c r="A8" s="7" t="n">
        <v>2</v>
      </c>
      <c r="B8" s="7" t="n">
        <f aca="false">IF(A8&gt;'2 Phases'!$D$4,"",IF(A8=0,1,COUNTIF('2 Phases'!$M$7:$M$12,"&lt;"&amp;A8)+1))</f>
        <v>1</v>
      </c>
      <c r="C8" s="7" t="str">
        <f aca="false">IF($B8="","",INDEX('2 Phases'!$C$7:$C$12,B8))</f>
        <v>Batch</v>
      </c>
      <c r="D8" s="7" t="n">
        <f aca="false">IF($B8="","",A8-INDEX('2 Phases'!$L$7:$L$12,B8))</f>
        <v>2</v>
      </c>
      <c r="E8" s="14" t="n">
        <f aca="false">IF($B8="","",IFERROR(IF(C8="Continuous",INDEX('2 Phases'!$N$7:$N$12,B8)*EXP((INDEX('2 Phases'!$P$7:$P$12,B8)-N(INDEX('2 Phases'!$H$7:$H$12,B8)))*D8),INDEX('2 Phases'!$N$7:$N$12,B8)*(IF(INDEX('2 Phases'!$E$7:$E$12,B8)="",INDEX('2 Phases'!$N$7:$N$12,B8),INDEX('2 Phases'!$E$7:$E$12,B8))/INDEX('2 Phases'!$N$7:$N$12,B8))^(D8/INDEX('2 Phases'!$D$7:$D$12,B8))),""))</f>
        <v>2370000</v>
      </c>
      <c r="F8" s="15" t="n">
        <f aca="false">IF(OR($B8="",C8&lt;&gt;"Fed-batch",D8=0),0,IFERROR(N(INDEX('3 Feed regimes'!$B$6:$E$35,D8,MATCH(INDEX('2 Phases'!$F$7:$F$12,B8),'3 Feed regimes'!$B$4:$E$4,0)))*'1 Setup'!$B$5/100,0))</f>
        <v>0</v>
      </c>
      <c r="G8" s="15" t="n">
        <f aca="false">IF($B8="","",G7+F8)</f>
        <v>1</v>
      </c>
      <c r="H8" s="14" t="n">
        <f aca="false">IF($B8="","",(E7+E8)/2)</f>
        <v>1873476.57912234</v>
      </c>
      <c r="I8" s="15" t="n">
        <f aca="false">IF($B8="","",IF(C8="Continuous",N(INDEX('2 Phases'!$G$7:$G$12,B8))*G7,0))</f>
        <v>0</v>
      </c>
      <c r="J8" s="15" t="n">
        <f aca="false">IF($B8="","",IF(C8="Continuous",N(INDEX('2 Phases'!$H$7:$H$12,B8))*G7,0))</f>
        <v>0</v>
      </c>
      <c r="K8" s="15" t="n">
        <f aca="false">IF($B8="","",I8-J8)</f>
        <v>0</v>
      </c>
      <c r="L8" s="14" t="n">
        <f aca="false">IF($B8="","",J8*1000*H8)</f>
        <v>0</v>
      </c>
      <c r="M8" s="15" t="n">
        <f aca="false">IF($B8="","",M7+F8+I8)</f>
        <v>1</v>
      </c>
      <c r="N8" s="15" t="n">
        <f aca="false">IF($B8="","",N7+K8)</f>
        <v>0</v>
      </c>
      <c r="O8" s="15" t="n">
        <f aca="false">IF($B8="","",O7+J8)</f>
        <v>0</v>
      </c>
      <c r="P8" s="14" t="n">
        <f aca="false">IF($B8="","",P7+L8)</f>
        <v>0</v>
      </c>
      <c r="Q8" s="18" t="n">
        <f aca="false">IF(OR($B8="",Q7="",'1 Setup'!$C$10=""),"",IF(AND($C8="Continuous",N(INDEX('2 Phases'!$G$7:$G$12,B8))&gt;0),IF('1 Setup'!$G$10="","",MAX(0,('1 Setup'!$G$10+('1 Setup'!$H$10*'1 Setup'!$C$10*0.00000024*$H8)/N(INDEX('2 Phases'!$G$7:$G$12,B8)))+(((Q7*($G7-$F7)+N('1 Setup'!$F$10)*$F7)/$G7)-('1 Setup'!$G$10+('1 Setup'!$H$10*'1 Setup'!$C$10*0.00000024*$H8)/N(INDEX('2 Phases'!$G$7:$G$12,B8))))*EXP(-N(INDEX('2 Phases'!$G$7:$G$12,B8))))),MAX(0,((Q7*($G7-$F7)+N('1 Setup'!$F$10)*$F7)/$G7)+('1 Setup'!$H$10*'1 Setup'!$C$10*0.00000024*$H8))))</f>
        <v>19.3841368119681</v>
      </c>
      <c r="R8" s="18" t="n">
        <f aca="false">IF(OR($B8="",R7="",'1 Setup'!$C$11=""),"",IF(AND($C8="Continuous",N(INDEX('2 Phases'!$G$7:$G$12,B8))&gt;0),IF('1 Setup'!$G$11="","",MAX(0,('1 Setup'!$G$11+('1 Setup'!$H$11*'1 Setup'!$C$11*0.00000024*$H8)/N(INDEX('2 Phases'!$G$7:$G$12,B8)))+(((R7*($G7-$F7)+N('1 Setup'!$F$11)*$F7)/$G7)-('1 Setup'!$G$11+('1 Setup'!$H$11*'1 Setup'!$C$11*0.00000024*$H8)/N(INDEX('2 Phases'!$G$7:$G$12,B8))))*EXP(-N(INDEX('2 Phases'!$G$7:$G$12,B8))))),MAX(0,((R7*($G7-$F7)+N('1 Setup'!$F$11)*$F7)/$G7)+('1 Setup'!$H$11*'1 Setup'!$C$11*0.00000024*$H8))))</f>
        <v>6.11347131861702</v>
      </c>
      <c r="S8" s="18" t="str">
        <f aca="false">IF(OR($B8="",S7="",'1 Setup'!$C$12=""),"",IF(AND($C8="Continuous",N(INDEX('2 Phases'!$G$7:$G$12,B8))&gt;0),IF('1 Setup'!$G$12="","",MAX(0,('1 Setup'!$G$12+('1 Setup'!$H$12*'1 Setup'!$C$12*0.00000024*$H8)/N(INDEX('2 Phases'!$G$7:$G$12,B8)))+(((S7*($G7-$F7)+N('1 Setup'!$F$12)*$F7)/$G7)-('1 Setup'!$G$12+('1 Setup'!$H$12*'1 Setup'!$C$12*0.00000024*$H8)/N(INDEX('2 Phases'!$G$7:$G$12,B8))))*EXP(-N(INDEX('2 Phases'!$G$7:$G$12,B8))))),MAX(0,((S7*($G7-$F7)+N('1 Setup'!$F$12)*$F7)/$G7)+('1 Setup'!$H$12*'1 Setup'!$C$12*0.00000024*$H8))))</f>
        <v/>
      </c>
      <c r="T8" s="18" t="str">
        <f aca="false">IF(OR($B8="",T7="",'1 Setup'!$C$13=""),"",IF(AND($C8="Continuous",N(INDEX('2 Phases'!$G$7:$G$12,B8))&gt;0),IF('1 Setup'!$G$13="","",MAX(0,('1 Setup'!$G$13+('1 Setup'!$H$13*'1 Setup'!$C$13*0.00000024*$H8)/N(INDEX('2 Phases'!$G$7:$G$12,B8)))+(((T7*($G7-$F7)+N('1 Setup'!$F$13)*$F7)/$G7)-('1 Setup'!$G$13+('1 Setup'!$H$13*'1 Setup'!$C$13*0.00000024*$H8)/N(INDEX('2 Phases'!$G$7:$G$12,B8))))*EXP(-N(INDEX('2 Phases'!$G$7:$G$12,B8))))),MAX(0,((T7*($G7-$F7)+N('1 Setup'!$F$13)*$F7)/$G7)+('1 Setup'!$H$13*'1 Setup'!$C$13*0.00000024*$H8))))</f>
        <v/>
      </c>
      <c r="U8" s="18" t="str">
        <f aca="false">IF(OR($B8="",U7="",'1 Setup'!$C$14=""),"",IF(AND($C8="Continuous",N(INDEX('2 Phases'!$G$7:$G$12,B8))&gt;0),IF('1 Setup'!$G$14="","",MAX(0,('1 Setup'!$G$14+('1 Setup'!$H$14*'1 Setup'!$C$14*0.00000024*$H8)/N(INDEX('2 Phases'!$G$7:$G$12,B8)))+(((U7*($G7-$F7)+N('1 Setup'!$F$14)*$F7)/$G7)-('1 Setup'!$G$14+('1 Setup'!$H$14*'1 Setup'!$C$14*0.00000024*$H8)/N(INDEX('2 Phases'!$G$7:$G$12,B8))))*EXP(-N(INDEX('2 Phases'!$G$7:$G$12,B8))))),MAX(0,((U7*($G7-$F7)+N('1 Setup'!$F$14)*$F7)/$G7)+('1 Setup'!$H$14*'1 Setup'!$C$14*0.00000024*$H8))))</f>
        <v/>
      </c>
      <c r="V8" s="18" t="n">
        <f aca="false">IF($B8="","",E8/1000000*'1 Setup'!$B$7)</f>
        <v>4.74</v>
      </c>
      <c r="W8" s="18" t="n">
        <f aca="false">IF($B8="","",V8*G8)</f>
        <v>4.74</v>
      </c>
      <c r="X8" s="18" t="n">
        <f aca="false">IF($B8="","",P8*'1 Setup'!$B$7/1000000000)</f>
        <v>0</v>
      </c>
      <c r="Y8" s="18" t="n">
        <f aca="false">IF($B8="","",L8*'1 Setup'!$B$7/1000000000)</f>
        <v>0</v>
      </c>
    </row>
    <row r="9" customFormat="false" ht="15" hidden="false" customHeight="false" outlineLevel="0" collapsed="false">
      <c r="A9" s="7" t="n">
        <v>3</v>
      </c>
      <c r="B9" s="7" t="n">
        <f aca="false">IF(A9&gt;'2 Phases'!$D$4,"",IF(A9=0,1,COUNTIF('2 Phases'!$M$7:$M$12,"&lt;"&amp;A9)+1))</f>
        <v>2</v>
      </c>
      <c r="C9" s="7" t="str">
        <f aca="false">IF($B9="","",INDEX('2 Phases'!$C$7:$C$12,B9))</f>
        <v>Fed-batch</v>
      </c>
      <c r="D9" s="7" t="n">
        <f aca="false">IF($B9="","",A9-INDEX('2 Phases'!$L$7:$L$12,B9))</f>
        <v>1</v>
      </c>
      <c r="E9" s="14" t="n">
        <f aca="false">IF($B9="","",IFERROR(IF(C9="Continuous",INDEX('2 Phases'!$N$7:$N$12,B9)*EXP((INDEX('2 Phases'!$P$7:$P$12,B9)-N(INDEX('2 Phases'!$H$7:$H$12,B9)))*D9),INDEX('2 Phases'!$N$7:$N$12,B9)*(IF(INDEX('2 Phases'!$E$7:$E$12,B9)="",INDEX('2 Phases'!$N$7:$N$12,B9),INDEX('2 Phases'!$E$7:$E$12,B9))/INDEX('2 Phases'!$N$7:$N$12,B9))^(D9/INDEX('2 Phases'!$D$7:$D$12,B9))),""))</f>
        <v>4073082.37088326</v>
      </c>
      <c r="F9" s="15" t="n">
        <f aca="false">IF(OR($B9="",C9&lt;&gt;"Fed-batch",D9=0),0,IFERROR(N(INDEX('3 Feed regimes'!$B$6:$E$35,D9,MATCH(INDEX('2 Phases'!$F$7:$F$12,B9),'3 Feed regimes'!$B$4:$E$4,0)))*'1 Setup'!$B$5/100,0))</f>
        <v>0.03</v>
      </c>
      <c r="G9" s="15" t="n">
        <f aca="false">IF($B9="","",G8+F9)</f>
        <v>1.03</v>
      </c>
      <c r="H9" s="14" t="n">
        <f aca="false">IF($B9="","",(E8+E9)/2)</f>
        <v>3221541.18544163</v>
      </c>
      <c r="I9" s="15" t="n">
        <f aca="false">IF($B9="","",IF(C9="Continuous",N(INDEX('2 Phases'!$G$7:$G$12,B9))*G8,0))</f>
        <v>0</v>
      </c>
      <c r="J9" s="15" t="n">
        <f aca="false">IF($B9="","",IF(C9="Continuous",N(INDEX('2 Phases'!$H$7:$H$12,B9))*G8,0))</f>
        <v>0</v>
      </c>
      <c r="K9" s="15" t="n">
        <f aca="false">IF($B9="","",I9-J9)</f>
        <v>0</v>
      </c>
      <c r="L9" s="14" t="n">
        <f aca="false">IF($B9="","",J9*1000*H9)</f>
        <v>0</v>
      </c>
      <c r="M9" s="15" t="n">
        <f aca="false">IF($B9="","",M8+F9+I9)</f>
        <v>1.03</v>
      </c>
      <c r="N9" s="15" t="n">
        <f aca="false">IF($B9="","",N8+K9)</f>
        <v>0</v>
      </c>
      <c r="O9" s="15" t="n">
        <f aca="false">IF($B9="","",O8+J9)</f>
        <v>0</v>
      </c>
      <c r="P9" s="14" t="n">
        <f aca="false">IF($B9="","",P8+L9)</f>
        <v>0</v>
      </c>
      <c r="Q9" s="18" t="n">
        <f aca="false">IF(OR($B9="",Q8="",'1 Setup'!$C$10=""),"",IF(AND($C9="Continuous",N(INDEX('2 Phases'!$G$7:$G$12,B9))&gt;0),IF('1 Setup'!$G$10="","",MAX(0,('1 Setup'!$G$10+('1 Setup'!$H$10*'1 Setup'!$C$10*0.00000024*$H9)/N(INDEX('2 Phases'!$G$7:$G$12,B9)))+(((Q8*($G8-$F8)+N('1 Setup'!$F$10)*$F8)/$G8)-('1 Setup'!$G$10+('1 Setup'!$H$10*'1 Setup'!$C$10*0.00000024*$H9)/N(INDEX('2 Phases'!$G$7:$G$12,B9))))*EXP(-N(INDEX('2 Phases'!$G$7:$G$12,B9))))),MAX(0,((Q8*($G8-$F8)+N('1 Setup'!$F$10)*$F8)/$G8)+('1 Setup'!$H$10*'1 Setup'!$C$10*0.00000024*$H9))))</f>
        <v>13.2760947243708</v>
      </c>
      <c r="R9" s="18" t="n">
        <f aca="false">IF(OR($B9="",R8="",'1 Setup'!$C$11=""),"",IF(AND($C9="Continuous",N(INDEX('2 Phases'!$G$7:$G$12,B9))&gt;0),IF('1 Setup'!$G$11="","",MAX(0,('1 Setup'!$G$11+('1 Setup'!$H$11*'1 Setup'!$C$11*0.00000024*$H9)/N(INDEX('2 Phases'!$G$7:$G$12,B9)))+(((R8*($G8-$F8)+N('1 Setup'!$F$11)*$F8)/$G8)-('1 Setup'!$G$11+('1 Setup'!$H$11*'1 Setup'!$C$11*0.00000024*$H9)/N(INDEX('2 Phases'!$G$7:$G$12,B9))))*EXP(-N(INDEX('2 Phases'!$G$7:$G$12,B9))))),MAX(0,((R8*($G8-$F8)+N('1 Setup'!$F$11)*$F8)/$G8)+('1 Setup'!$H$11*'1 Setup'!$C$11*0.00000024*$H9))))</f>
        <v>12.7627323253685</v>
      </c>
      <c r="S9" s="18" t="str">
        <f aca="false">IF(OR($B9="",S8="",'1 Setup'!$C$12=""),"",IF(AND($C9="Continuous",N(INDEX('2 Phases'!$G$7:$G$12,B9))&gt;0),IF('1 Setup'!$G$12="","",MAX(0,('1 Setup'!$G$12+('1 Setup'!$H$12*'1 Setup'!$C$12*0.00000024*$H9)/N(INDEX('2 Phases'!$G$7:$G$12,B9)))+(((S8*($G8-$F8)+N('1 Setup'!$F$12)*$F8)/$G8)-('1 Setup'!$G$12+('1 Setup'!$H$12*'1 Setup'!$C$12*0.00000024*$H9)/N(INDEX('2 Phases'!$G$7:$G$12,B9))))*EXP(-N(INDEX('2 Phases'!$G$7:$G$12,B9))))),MAX(0,((S8*($G8-$F8)+N('1 Setup'!$F$12)*$F8)/$G8)+('1 Setup'!$H$12*'1 Setup'!$C$12*0.00000024*$H9))))</f>
        <v/>
      </c>
      <c r="T9" s="18" t="str">
        <f aca="false">IF(OR($B9="",T8="",'1 Setup'!$C$13=""),"",IF(AND($C9="Continuous",N(INDEX('2 Phases'!$G$7:$G$12,B9))&gt;0),IF('1 Setup'!$G$13="","",MAX(0,('1 Setup'!$G$13+('1 Setup'!$H$13*'1 Setup'!$C$13*0.00000024*$H9)/N(INDEX('2 Phases'!$G$7:$G$12,B9)))+(((T8*($G8-$F8)+N('1 Setup'!$F$13)*$F8)/$G8)-('1 Setup'!$G$13+('1 Setup'!$H$13*'1 Setup'!$C$13*0.00000024*$H9)/N(INDEX('2 Phases'!$G$7:$G$12,B9))))*EXP(-N(INDEX('2 Phases'!$G$7:$G$12,B9))))),MAX(0,((T8*($G8-$F8)+N('1 Setup'!$F$13)*$F8)/$G8)+('1 Setup'!$H$13*'1 Setup'!$C$13*0.00000024*$H9))))</f>
        <v/>
      </c>
      <c r="U9" s="18" t="str">
        <f aca="false">IF(OR($B9="",U8="",'1 Setup'!$C$14=""),"",IF(AND($C9="Continuous",N(INDEX('2 Phases'!$G$7:$G$12,B9))&gt;0),IF('1 Setup'!$G$14="","",MAX(0,('1 Setup'!$G$14+('1 Setup'!$H$14*'1 Setup'!$C$14*0.00000024*$H9)/N(INDEX('2 Phases'!$G$7:$G$12,B9)))+(((U8*($G8-$F8)+N('1 Setup'!$F$14)*$F8)/$G8)-('1 Setup'!$G$14+('1 Setup'!$H$14*'1 Setup'!$C$14*0.00000024*$H9)/N(INDEX('2 Phases'!$G$7:$G$12,B9))))*EXP(-N(INDEX('2 Phases'!$G$7:$G$12,B9))))),MAX(0,((U8*($G8-$F8)+N('1 Setup'!$F$14)*$F8)/$G8)+('1 Setup'!$H$14*'1 Setup'!$C$14*0.00000024*$H9))))</f>
        <v/>
      </c>
      <c r="V9" s="18" t="n">
        <f aca="false">IF($B9="","",E9/1000000*'1 Setup'!$B$7)</f>
        <v>8.14616474176652</v>
      </c>
      <c r="W9" s="18" t="n">
        <f aca="false">IF($B9="","",V9*G9)</f>
        <v>8.39054968401952</v>
      </c>
      <c r="X9" s="18" t="n">
        <f aca="false">IF($B9="","",P9*'1 Setup'!$B$7/1000000000)</f>
        <v>0</v>
      </c>
      <c r="Y9" s="18" t="n">
        <f aca="false">IF($B9="","",L9*'1 Setup'!$B$7/1000000000)</f>
        <v>0</v>
      </c>
    </row>
    <row r="10" customFormat="false" ht="15" hidden="false" customHeight="false" outlineLevel="0" collapsed="false">
      <c r="A10" s="7" t="n">
        <v>4</v>
      </c>
      <c r="B10" s="7" t="n">
        <f aca="false">IF(A10&gt;'2 Phases'!$D$4,"",IF(A10=0,1,COUNTIF('2 Phases'!$M$7:$M$12,"&lt;"&amp;A10)+1))</f>
        <v>2</v>
      </c>
      <c r="C10" s="7" t="str">
        <f aca="false">IF($B10="","",INDEX('2 Phases'!$C$7:$C$12,B10))</f>
        <v>Fed-batch</v>
      </c>
      <c r="D10" s="7" t="n">
        <f aca="false">IF($B10="","",A10-INDEX('2 Phases'!$L$7:$L$12,B10))</f>
        <v>2</v>
      </c>
      <c r="E10" s="14" t="n">
        <f aca="false">IF($B10="","",IFERROR(IF(C10="Continuous",INDEX('2 Phases'!$N$7:$N$12,B10)*EXP((INDEX('2 Phases'!$P$7:$P$12,B10)-N(INDEX('2 Phases'!$H$7:$H$12,B10)))*D10),INDEX('2 Phases'!$N$7:$N$12,B10)*(IF(INDEX('2 Phases'!$E$7:$E$12,B10)="",INDEX('2 Phases'!$N$7:$N$12,B10),INDEX('2 Phases'!$E$7:$E$12,B10))/INDEX('2 Phases'!$N$7:$N$12,B10))^(D10/INDEX('2 Phases'!$D$7:$D$12,B10))),""))</f>
        <v>7000000</v>
      </c>
      <c r="F10" s="15" t="n">
        <f aca="false">IF(OR($B10="",C10&lt;&gt;"Fed-batch",D10=0),0,IFERROR(N(INDEX('3 Feed regimes'!$B$6:$E$35,D10,MATCH(INDEX('2 Phases'!$F$7:$F$12,B10),'3 Feed regimes'!$B$4:$E$4,0)))*'1 Setup'!$B$5/100,0))</f>
        <v>0.03</v>
      </c>
      <c r="G10" s="15" t="n">
        <f aca="false">IF($B10="","",G9+F10)</f>
        <v>1.06</v>
      </c>
      <c r="H10" s="14" t="n">
        <f aca="false">IF($B10="","",(E9+E10)/2)</f>
        <v>5536541.18544163</v>
      </c>
      <c r="I10" s="15" t="n">
        <f aca="false">IF($B10="","",IF(C10="Continuous",N(INDEX('2 Phases'!$G$7:$G$12,B10))*G9,0))</f>
        <v>0</v>
      </c>
      <c r="J10" s="15" t="n">
        <f aca="false">IF($B10="","",IF(C10="Continuous",N(INDEX('2 Phases'!$H$7:$H$12,B10))*G9,0))</f>
        <v>0</v>
      </c>
      <c r="K10" s="15" t="n">
        <f aca="false">IF($B10="","",I10-J10)</f>
        <v>0</v>
      </c>
      <c r="L10" s="14" t="n">
        <f aca="false">IF($B10="","",J10*1000*H10)</f>
        <v>0</v>
      </c>
      <c r="M10" s="15" t="n">
        <f aca="false">IF($B10="","",M9+F10+I10)</f>
        <v>1.06</v>
      </c>
      <c r="N10" s="15" t="n">
        <f aca="false">IF($B10="","",N9+K10)</f>
        <v>0</v>
      </c>
      <c r="O10" s="15" t="n">
        <f aca="false">IF($B10="","",O9+J10)</f>
        <v>0</v>
      </c>
      <c r="P10" s="14" t="n">
        <f aca="false">IF($B10="","",P9+L10)</f>
        <v>0</v>
      </c>
      <c r="Q10" s="18" t="n">
        <f aca="false">IF(OR($B10="",Q9="",'1 Setup'!$C$10=""),"",IF(AND($C10="Continuous",N(INDEX('2 Phases'!$G$7:$G$12,B10))&gt;0),IF('1 Setup'!$G$10="","",MAX(0,('1 Setup'!$G$10+('1 Setup'!$H$10*'1 Setup'!$C$10*0.00000024*$H10)/N(INDEX('2 Phases'!$G$7:$G$12,B10)))+(((Q9*($G9-$F9)+N('1 Setup'!$F$10)*$F9)/$G9)-('1 Setup'!$G$10+('1 Setup'!$H$10*'1 Setup'!$C$10*0.00000024*$H10)/N(INDEX('2 Phases'!$G$7:$G$12,B10))))*EXP(-N(INDEX('2 Phases'!$G$7:$G$12,B10))))),MAX(0,((Q9*($G9-$F9)+N('1 Setup'!$F$10)*$F9)/$G9)+('1 Setup'!$H$10*'1 Setup'!$C$10*0.00000024*$H10))))</f>
        <v>9.67368366421894</v>
      </c>
      <c r="R10" s="18" t="n">
        <f aca="false">IF(OR($B10="",R9="",'1 Setup'!$C$11=""),"",IF(AND($C10="Continuous",N(INDEX('2 Phases'!$G$7:$G$12,B10))&gt;0),IF('1 Setup'!$G$11="","",MAX(0,('1 Setup'!$G$11+('1 Setup'!$H$11*'1 Setup'!$C$11*0.00000024*$H10)/N(INDEX('2 Phases'!$G$7:$G$12,B10)))+(((R9*($G9-$F9)+N('1 Setup'!$F$11)*$F9)/$G9)-('1 Setup'!$G$11+('1 Setup'!$H$11*'1 Setup'!$C$11*0.00000024*$H10)/N(INDEX('2 Phases'!$G$7:$G$12,B10))))*EXP(-N(INDEX('2 Phases'!$G$7:$G$12,B10))))),MAX(0,((R9*($G9-$F9)+N('1 Setup'!$F$11)*$F9)/$G9)+('1 Setup'!$H$11*'1 Setup'!$C$11*0.00000024*$H10))))</f>
        <v>23.8184232643909</v>
      </c>
      <c r="S10" s="18" t="str">
        <f aca="false">IF(OR($B10="",S9="",'1 Setup'!$C$12=""),"",IF(AND($C10="Continuous",N(INDEX('2 Phases'!$G$7:$G$12,B10))&gt;0),IF('1 Setup'!$G$12="","",MAX(0,('1 Setup'!$G$12+('1 Setup'!$H$12*'1 Setup'!$C$12*0.00000024*$H10)/N(INDEX('2 Phases'!$G$7:$G$12,B10)))+(((S9*($G9-$F9)+N('1 Setup'!$F$12)*$F9)/$G9)-('1 Setup'!$G$12+('1 Setup'!$H$12*'1 Setup'!$C$12*0.00000024*$H10)/N(INDEX('2 Phases'!$G$7:$G$12,B10))))*EXP(-N(INDEX('2 Phases'!$G$7:$G$12,B10))))),MAX(0,((S9*($G9-$F9)+N('1 Setup'!$F$12)*$F9)/$G9)+('1 Setup'!$H$12*'1 Setup'!$C$12*0.00000024*$H10))))</f>
        <v/>
      </c>
      <c r="T10" s="18" t="str">
        <f aca="false">IF(OR($B10="",T9="",'1 Setup'!$C$13=""),"",IF(AND($C10="Continuous",N(INDEX('2 Phases'!$G$7:$G$12,B10))&gt;0),IF('1 Setup'!$G$13="","",MAX(0,('1 Setup'!$G$13+('1 Setup'!$H$13*'1 Setup'!$C$13*0.00000024*$H10)/N(INDEX('2 Phases'!$G$7:$G$12,B10)))+(((T9*($G9-$F9)+N('1 Setup'!$F$13)*$F9)/$G9)-('1 Setup'!$G$13+('1 Setup'!$H$13*'1 Setup'!$C$13*0.00000024*$H10)/N(INDEX('2 Phases'!$G$7:$G$12,B10))))*EXP(-N(INDEX('2 Phases'!$G$7:$G$12,B10))))),MAX(0,((T9*($G9-$F9)+N('1 Setup'!$F$13)*$F9)/$G9)+('1 Setup'!$H$13*'1 Setup'!$C$13*0.00000024*$H10))))</f>
        <v/>
      </c>
      <c r="U10" s="18" t="str">
        <f aca="false">IF(OR($B10="",U9="",'1 Setup'!$C$14=""),"",IF(AND($C10="Continuous",N(INDEX('2 Phases'!$G$7:$G$12,B10))&gt;0),IF('1 Setup'!$G$14="","",MAX(0,('1 Setup'!$G$14+('1 Setup'!$H$14*'1 Setup'!$C$14*0.00000024*$H10)/N(INDEX('2 Phases'!$G$7:$G$12,B10)))+(((U9*($G9-$F9)+N('1 Setup'!$F$14)*$F9)/$G9)-('1 Setup'!$G$14+('1 Setup'!$H$14*'1 Setup'!$C$14*0.00000024*$H10)/N(INDEX('2 Phases'!$G$7:$G$12,B10))))*EXP(-N(INDEX('2 Phases'!$G$7:$G$12,B10))))),MAX(0,((U9*($G9-$F9)+N('1 Setup'!$F$14)*$F9)/$G9)+('1 Setup'!$H$14*'1 Setup'!$C$14*0.00000024*$H10))))</f>
        <v/>
      </c>
      <c r="V10" s="18" t="n">
        <f aca="false">IF($B10="","",E10/1000000*'1 Setup'!$B$7)</f>
        <v>14</v>
      </c>
      <c r="W10" s="18" t="n">
        <f aca="false">IF($B10="","",V10*G10)</f>
        <v>14.84</v>
      </c>
      <c r="X10" s="18" t="n">
        <f aca="false">IF($B10="","",P10*'1 Setup'!$B$7/1000000000)</f>
        <v>0</v>
      </c>
      <c r="Y10" s="18" t="n">
        <f aca="false">IF($B10="","",L10*'1 Setup'!$B$7/1000000000)</f>
        <v>0</v>
      </c>
    </row>
    <row r="11" customFormat="false" ht="15" hidden="false" customHeight="false" outlineLevel="0" collapsed="false">
      <c r="A11" s="7" t="n">
        <v>5</v>
      </c>
      <c r="B11" s="7" t="n">
        <f aca="false">IF(A11&gt;'2 Phases'!$D$4,"",IF(A11=0,1,COUNTIF('2 Phases'!$M$7:$M$12,"&lt;"&amp;A11)+1))</f>
        <v>3</v>
      </c>
      <c r="C11" s="7" t="str">
        <f aca="false">IF($B11="","",INDEX('2 Phases'!$C$7:$C$12,B11))</f>
        <v>Continuous</v>
      </c>
      <c r="D11" s="7" t="n">
        <f aca="false">IF($B11="","",A11-INDEX('2 Phases'!$L$7:$L$12,B11))</f>
        <v>1</v>
      </c>
      <c r="E11" s="14" t="n">
        <f aca="false">IF($B11="","",IFERROR(IF(C11="Continuous",INDEX('2 Phases'!$N$7:$N$12,B11)*EXP((INDEX('2 Phases'!$P$7:$P$12,B11)-N(INDEX('2 Phases'!$H$7:$H$12,B11)))*D11),INDEX('2 Phases'!$N$7:$N$12,B11)*(IF(INDEX('2 Phases'!$E$7:$E$12,B11)="",INDEX('2 Phases'!$N$7:$N$12,B11),INDEX('2 Phases'!$E$7:$E$12,B11))/INDEX('2 Phases'!$N$7:$N$12,B11))^(D11/INDEX('2 Phases'!$D$7:$D$12,B11))),""))</f>
        <v>7000000</v>
      </c>
      <c r="F11" s="15" t="n">
        <f aca="false">IF(OR($B11="",C11&lt;&gt;"Fed-batch",D11=0),0,IFERROR(N(INDEX('3 Feed regimes'!$B$6:$E$35,D11,MATCH(INDEX('2 Phases'!$F$7:$F$12,B11),'3 Feed regimes'!$B$4:$E$4,0)))*'1 Setup'!$B$5/100,0))</f>
        <v>0</v>
      </c>
      <c r="G11" s="15" t="n">
        <f aca="false">IF($B11="","",G10+F11)</f>
        <v>1.06</v>
      </c>
      <c r="H11" s="14" t="n">
        <f aca="false">IF($B11="","",(E10+E11)/2)</f>
        <v>7000000</v>
      </c>
      <c r="I11" s="15" t="n">
        <f aca="false">IF($B11="","",IF(C11="Continuous",N(INDEX('2 Phases'!$G$7:$G$12,B11))*G10,0))</f>
        <v>0.765744</v>
      </c>
      <c r="J11" s="15" t="n">
        <f aca="false">IF($B11="","",IF(C11="Continuous",N(INDEX('2 Phases'!$H$7:$H$12,B11))*G10,0))</f>
        <v>0.574000702771385</v>
      </c>
      <c r="K11" s="15" t="n">
        <f aca="false">IF($B11="","",I11-J11)</f>
        <v>0.191743297228615</v>
      </c>
      <c r="L11" s="14" t="n">
        <f aca="false">IF($B11="","",J11*1000*H11)</f>
        <v>4018004919.3997</v>
      </c>
      <c r="M11" s="15" t="n">
        <f aca="false">IF($B11="","",M10+F11+I11)</f>
        <v>1.825744</v>
      </c>
      <c r="N11" s="15" t="n">
        <f aca="false">IF($B11="","",N10+K11)</f>
        <v>0.191743297228615</v>
      </c>
      <c r="O11" s="15" t="n">
        <f aca="false">IF($B11="","",O10+J11)</f>
        <v>0.574000702771385</v>
      </c>
      <c r="P11" s="14" t="n">
        <f aca="false">IF($B11="","",P10+L11)</f>
        <v>4018004919.3997</v>
      </c>
      <c r="Q11" s="18" t="n">
        <f aca="false">IF(OR($B11="",Q10="",'1 Setup'!$C$10=""),"",IF(AND($C11="Continuous",N(INDEX('2 Phases'!$G$7:$G$12,B11))&gt;0),IF('1 Setup'!$G$10="","",MAX(0,('1 Setup'!$G$10+('1 Setup'!$H$10*'1 Setup'!$C$10*0.00000024*$H11)/N(INDEX('2 Phases'!$G$7:$G$12,B11)))+(((Q10*($G10-$F10)+N('1 Setup'!$F$10)*$F10)/$G10)-('1 Setup'!$G$10+('1 Setup'!$H$10*'1 Setup'!$C$10*0.00000024*$H11)/N(INDEX('2 Phases'!$G$7:$G$12,B11))))*EXP(-N(INDEX('2 Phases'!$G$7:$G$12,B11))))),MAX(0,((Q10*($G10-$F10)+N('1 Setup'!$F$10)*$F10)/$G10)+('1 Setup'!$H$10*'1 Setup'!$C$10*0.00000024*$H11))))</f>
        <v>11.4096926571249</v>
      </c>
      <c r="R11" s="18" t="n">
        <f aca="false">IF(OR($B11="",R10="",'1 Setup'!$C$11=""),"",IF(AND($C11="Continuous",N(INDEX('2 Phases'!$G$7:$G$12,B11))&gt;0),IF('1 Setup'!$G$11="","",MAX(0,('1 Setup'!$G$11+('1 Setup'!$H$11*'1 Setup'!$C$11*0.00000024*$H11)/N(INDEX('2 Phases'!$G$7:$G$12,B11)))+(((R10*($G10-$F10)+N('1 Setup'!$F$11)*$F10)/$G10)-('1 Setup'!$G$11+('1 Setup'!$H$11*'1 Setup'!$C$11*0.00000024*$H11)/N(INDEX('2 Phases'!$G$7:$G$12,B11))))*EXP(-N(INDEX('2 Phases'!$G$7:$G$12,B11))))),MAX(0,((R10*($G10-$F10)+N('1 Setup'!$F$11)*$F10)/$G10)+('1 Setup'!$H$11*'1 Setup'!$C$11*0.00000024*$H11))))</f>
        <v>21.5268345629632</v>
      </c>
      <c r="S11" s="18" t="str">
        <f aca="false">IF(OR($B11="",S10="",'1 Setup'!$C$12=""),"",IF(AND($C11="Continuous",N(INDEX('2 Phases'!$G$7:$G$12,B11))&gt;0),IF('1 Setup'!$G$12="","",MAX(0,('1 Setup'!$G$12+('1 Setup'!$H$12*'1 Setup'!$C$12*0.00000024*$H11)/N(INDEX('2 Phases'!$G$7:$G$12,B11)))+(((S10*($G10-$F10)+N('1 Setup'!$F$12)*$F10)/$G10)-('1 Setup'!$G$12+('1 Setup'!$H$12*'1 Setup'!$C$12*0.00000024*$H11)/N(INDEX('2 Phases'!$G$7:$G$12,B11))))*EXP(-N(INDEX('2 Phases'!$G$7:$G$12,B11))))),MAX(0,((S10*($G10-$F10)+N('1 Setup'!$F$12)*$F10)/$G10)+('1 Setup'!$H$12*'1 Setup'!$C$12*0.00000024*$H11))))</f>
        <v/>
      </c>
      <c r="T11" s="18" t="str">
        <f aca="false">IF(OR($B11="",T10="",'1 Setup'!$C$13=""),"",IF(AND($C11="Continuous",N(INDEX('2 Phases'!$G$7:$G$12,B11))&gt;0),IF('1 Setup'!$G$13="","",MAX(0,('1 Setup'!$G$13+('1 Setup'!$H$13*'1 Setup'!$C$13*0.00000024*$H11)/N(INDEX('2 Phases'!$G$7:$G$12,B11)))+(((T10*($G10-$F10)+N('1 Setup'!$F$13)*$F10)/$G10)-('1 Setup'!$G$13+('1 Setup'!$H$13*'1 Setup'!$C$13*0.00000024*$H11)/N(INDEX('2 Phases'!$G$7:$G$12,B11))))*EXP(-N(INDEX('2 Phases'!$G$7:$G$12,B11))))),MAX(0,((T10*($G10-$F10)+N('1 Setup'!$F$13)*$F10)/$G10)+('1 Setup'!$H$13*'1 Setup'!$C$13*0.00000024*$H11))))</f>
        <v/>
      </c>
      <c r="U11" s="18" t="str">
        <f aca="false">IF(OR($B11="",U10="",'1 Setup'!$C$14=""),"",IF(AND($C11="Continuous",N(INDEX('2 Phases'!$G$7:$G$12,B11))&gt;0),IF('1 Setup'!$G$14="","",MAX(0,('1 Setup'!$G$14+('1 Setup'!$H$14*'1 Setup'!$C$14*0.00000024*$H11)/N(INDEX('2 Phases'!$G$7:$G$12,B11)))+(((U10*($G10-$F10)+N('1 Setup'!$F$14)*$F10)/$G10)-('1 Setup'!$G$14+('1 Setup'!$H$14*'1 Setup'!$C$14*0.00000024*$H11)/N(INDEX('2 Phases'!$G$7:$G$12,B11))))*EXP(-N(INDEX('2 Phases'!$G$7:$G$12,B11))))),MAX(0,((U10*($G10-$F10)+N('1 Setup'!$F$14)*$F10)/$G10)+('1 Setup'!$H$14*'1 Setup'!$C$14*0.00000024*$H11))))</f>
        <v/>
      </c>
      <c r="V11" s="18" t="n">
        <f aca="false">IF($B11="","",E11/1000000*'1 Setup'!$B$7)</f>
        <v>14</v>
      </c>
      <c r="W11" s="18" t="n">
        <f aca="false">IF($B11="","",V11*G11)</f>
        <v>14.84</v>
      </c>
      <c r="X11" s="18" t="n">
        <f aca="false">IF($B11="","",P11*'1 Setup'!$B$7/1000000000)</f>
        <v>8.03600983879939</v>
      </c>
      <c r="Y11" s="18" t="n">
        <f aca="false">IF($B11="","",L11*'1 Setup'!$B$7/1000000000)</f>
        <v>8.03600983879939</v>
      </c>
    </row>
    <row r="12" customFormat="false" ht="15" hidden="false" customHeight="false" outlineLevel="0" collapsed="false">
      <c r="A12" s="7" t="n">
        <v>6</v>
      </c>
      <c r="B12" s="7" t="n">
        <f aca="false">IF(A12&gt;'2 Phases'!$D$4,"",IF(A12=0,1,COUNTIF('2 Phases'!$M$7:$M$12,"&lt;"&amp;A12)+1))</f>
        <v>3</v>
      </c>
      <c r="C12" s="7" t="str">
        <f aca="false">IF($B12="","",INDEX('2 Phases'!$C$7:$C$12,B12))</f>
        <v>Continuous</v>
      </c>
      <c r="D12" s="7" t="n">
        <f aca="false">IF($B12="","",A12-INDEX('2 Phases'!$L$7:$L$12,B12))</f>
        <v>2</v>
      </c>
      <c r="E12" s="14" t="n">
        <f aca="false">IF($B12="","",IFERROR(IF(C12="Continuous",INDEX('2 Phases'!$N$7:$N$12,B12)*EXP((INDEX('2 Phases'!$P$7:$P$12,B12)-N(INDEX('2 Phases'!$H$7:$H$12,B12)))*D12),INDEX('2 Phases'!$N$7:$N$12,B12)*(IF(INDEX('2 Phases'!$E$7:$E$12,B12)="",INDEX('2 Phases'!$N$7:$N$12,B12),INDEX('2 Phases'!$E$7:$E$12,B12))/INDEX('2 Phases'!$N$7:$N$12,B12))^(D12/INDEX('2 Phases'!$D$7:$D$12,B12))),""))</f>
        <v>7000000</v>
      </c>
      <c r="F12" s="15" t="n">
        <f aca="false">IF(OR($B12="",C12&lt;&gt;"Fed-batch",D12=0),0,IFERROR(N(INDEX('3 Feed regimes'!$B$6:$E$35,D12,MATCH(INDEX('2 Phases'!$F$7:$F$12,B12),'3 Feed regimes'!$B$4:$E$4,0)))*'1 Setup'!$B$5/100,0))</f>
        <v>0</v>
      </c>
      <c r="G12" s="15" t="n">
        <f aca="false">IF($B12="","",G11+F12)</f>
        <v>1.06</v>
      </c>
      <c r="H12" s="14" t="n">
        <f aca="false">IF($B12="","",(E11+E12)/2)</f>
        <v>7000000</v>
      </c>
      <c r="I12" s="15" t="n">
        <f aca="false">IF($B12="","",IF(C12="Continuous",N(INDEX('2 Phases'!$G$7:$G$12,B12))*G11,0))</f>
        <v>0.765744</v>
      </c>
      <c r="J12" s="15" t="n">
        <f aca="false">IF($B12="","",IF(C12="Continuous",N(INDEX('2 Phases'!$H$7:$H$12,B12))*G11,0))</f>
        <v>0.574000702771385</v>
      </c>
      <c r="K12" s="15" t="n">
        <f aca="false">IF($B12="","",I12-J12)</f>
        <v>0.191743297228615</v>
      </c>
      <c r="L12" s="14" t="n">
        <f aca="false">IF($B12="","",J12*1000*H12)</f>
        <v>4018004919.3997</v>
      </c>
      <c r="M12" s="15" t="n">
        <f aca="false">IF($B12="","",M11+F12+I12)</f>
        <v>2.591488</v>
      </c>
      <c r="N12" s="15" t="n">
        <f aca="false">IF($B12="","",N11+K12)</f>
        <v>0.38348659445723</v>
      </c>
      <c r="O12" s="15" t="n">
        <f aca="false">IF($B12="","",O11+J12)</f>
        <v>1.14800140554277</v>
      </c>
      <c r="P12" s="14" t="n">
        <f aca="false">IF($B12="","",P11+L12)</f>
        <v>8036009838.79939</v>
      </c>
      <c r="Q12" s="18" t="n">
        <f aca="false">IF(OR($B12="",Q11="",'1 Setup'!$C$10=""),"",IF(AND($C12="Continuous",N(INDEX('2 Phases'!$G$7:$G$12,B12))&gt;0),IF('1 Setup'!$G$10="","",MAX(0,('1 Setup'!$G$10+('1 Setup'!$H$10*'1 Setup'!$C$10*0.00000024*$H12)/N(INDEX('2 Phases'!$G$7:$G$12,B12)))+(((Q11*($G11-$F11)+N('1 Setup'!$F$10)*$F11)/$G11)-('1 Setup'!$G$10+('1 Setup'!$H$10*'1 Setup'!$C$10*0.00000024*$H12)/N(INDEX('2 Phases'!$G$7:$G$12,B12))))*EXP(-N(INDEX('2 Phases'!$G$7:$G$12,B12))))),MAX(0,((Q11*($G11-$F11)+N('1 Setup'!$F$10)*$F11)/$G11)+('1 Setup'!$H$10*'1 Setup'!$C$10*0.00000024*$H12))))</f>
        <v>8.9498725342348</v>
      </c>
      <c r="R12" s="18" t="n">
        <f aca="false">IF(OR($B12="",R11="",'1 Setup'!$C$11=""),"",IF(AND($C12="Continuous",N(INDEX('2 Phases'!$G$7:$G$12,B12))&gt;0),IF('1 Setup'!$G$11="","",MAX(0,('1 Setup'!$G$11+('1 Setup'!$H$11*'1 Setup'!$C$11*0.00000024*$H12)/N(INDEX('2 Phases'!$G$7:$G$12,B12)))+(((R11*($G11-$F11)+N('1 Setup'!$F$11)*$F11)/$G11)-('1 Setup'!$G$11+('1 Setup'!$H$11*'1 Setup'!$C$11*0.00000024*$H12)/N(INDEX('2 Phases'!$G$7:$G$12,B12))))*EXP(-N(INDEX('2 Phases'!$G$7:$G$12,B12))))),MAX(0,((R11*($G11-$F11)+N('1 Setup'!$F$11)*$F11)/$G11)+('1 Setup'!$H$11*'1 Setup'!$C$11*0.00000024*$H12))))</f>
        <v>20.7414086502732</v>
      </c>
      <c r="S12" s="18" t="str">
        <f aca="false">IF(OR($B12="",S11="",'1 Setup'!$C$12=""),"",IF(AND($C12="Continuous",N(INDEX('2 Phases'!$G$7:$G$12,B12))&gt;0),IF('1 Setup'!$G$12="","",MAX(0,('1 Setup'!$G$12+('1 Setup'!$H$12*'1 Setup'!$C$12*0.00000024*$H12)/N(INDEX('2 Phases'!$G$7:$G$12,B12)))+(((S11*($G11-$F11)+N('1 Setup'!$F$12)*$F11)/$G11)-('1 Setup'!$G$12+('1 Setup'!$H$12*'1 Setup'!$C$12*0.00000024*$H12)/N(INDEX('2 Phases'!$G$7:$G$12,B12))))*EXP(-N(INDEX('2 Phases'!$G$7:$G$12,B12))))),MAX(0,((S11*($G11-$F11)+N('1 Setup'!$F$12)*$F11)/$G11)+('1 Setup'!$H$12*'1 Setup'!$C$12*0.00000024*$H12))))</f>
        <v/>
      </c>
      <c r="T12" s="18" t="str">
        <f aca="false">IF(OR($B12="",T11="",'1 Setup'!$C$13=""),"",IF(AND($C12="Continuous",N(INDEX('2 Phases'!$G$7:$G$12,B12))&gt;0),IF('1 Setup'!$G$13="","",MAX(0,('1 Setup'!$G$13+('1 Setup'!$H$13*'1 Setup'!$C$13*0.00000024*$H12)/N(INDEX('2 Phases'!$G$7:$G$12,B12)))+(((T11*($G11-$F11)+N('1 Setup'!$F$13)*$F11)/$G11)-('1 Setup'!$G$13+('1 Setup'!$H$13*'1 Setup'!$C$13*0.00000024*$H12)/N(INDEX('2 Phases'!$G$7:$G$12,B12))))*EXP(-N(INDEX('2 Phases'!$G$7:$G$12,B12))))),MAX(0,((T11*($G11-$F11)+N('1 Setup'!$F$13)*$F11)/$G11)+('1 Setup'!$H$13*'1 Setup'!$C$13*0.00000024*$H12))))</f>
        <v/>
      </c>
      <c r="U12" s="18" t="str">
        <f aca="false">IF(OR($B12="",U11="",'1 Setup'!$C$14=""),"",IF(AND($C12="Continuous",N(INDEX('2 Phases'!$G$7:$G$12,B12))&gt;0),IF('1 Setup'!$G$14="","",MAX(0,('1 Setup'!$G$14+('1 Setup'!$H$14*'1 Setup'!$C$14*0.00000024*$H12)/N(INDEX('2 Phases'!$G$7:$G$12,B12)))+(((U11*($G11-$F11)+N('1 Setup'!$F$14)*$F11)/$G11)-('1 Setup'!$G$14+('1 Setup'!$H$14*'1 Setup'!$C$14*0.00000024*$H12)/N(INDEX('2 Phases'!$G$7:$G$12,B12))))*EXP(-N(INDEX('2 Phases'!$G$7:$G$12,B12))))),MAX(0,((U11*($G11-$F11)+N('1 Setup'!$F$14)*$F11)/$G11)+('1 Setup'!$H$14*'1 Setup'!$C$14*0.00000024*$H12))))</f>
        <v/>
      </c>
      <c r="V12" s="18" t="n">
        <f aca="false">IF($B12="","",E12/1000000*'1 Setup'!$B$7)</f>
        <v>14</v>
      </c>
      <c r="W12" s="18" t="n">
        <f aca="false">IF($B12="","",V12*G12)</f>
        <v>14.84</v>
      </c>
      <c r="X12" s="18" t="n">
        <f aca="false">IF($B12="","",P12*'1 Setup'!$B$7/1000000000)</f>
        <v>16.0720196775988</v>
      </c>
      <c r="Y12" s="18" t="n">
        <f aca="false">IF($B12="","",L12*'1 Setup'!$B$7/1000000000)</f>
        <v>8.03600983879939</v>
      </c>
    </row>
    <row r="13" customFormat="false" ht="15" hidden="false" customHeight="false" outlineLevel="0" collapsed="false">
      <c r="A13" s="7" t="n">
        <v>7</v>
      </c>
      <c r="B13" s="7" t="n">
        <f aca="false">IF(A13&gt;'2 Phases'!$D$4,"",IF(A13=0,1,COUNTIF('2 Phases'!$M$7:$M$12,"&lt;"&amp;A13)+1))</f>
        <v>3</v>
      </c>
      <c r="C13" s="7" t="str">
        <f aca="false">IF($B13="","",INDEX('2 Phases'!$C$7:$C$12,B13))</f>
        <v>Continuous</v>
      </c>
      <c r="D13" s="7" t="n">
        <f aca="false">IF($B13="","",A13-INDEX('2 Phases'!$L$7:$L$12,B13))</f>
        <v>3</v>
      </c>
      <c r="E13" s="14" t="n">
        <f aca="false">IF($B13="","",IFERROR(IF(C13="Continuous",INDEX('2 Phases'!$N$7:$N$12,B13)*EXP((INDEX('2 Phases'!$P$7:$P$12,B13)-N(INDEX('2 Phases'!$H$7:$H$12,B13)))*D13),INDEX('2 Phases'!$N$7:$N$12,B13)*(IF(INDEX('2 Phases'!$E$7:$E$12,B13)="",INDEX('2 Phases'!$N$7:$N$12,B13),INDEX('2 Phases'!$E$7:$E$12,B13))/INDEX('2 Phases'!$N$7:$N$12,B13))^(D13/INDEX('2 Phases'!$D$7:$D$12,B13))),""))</f>
        <v>7000000</v>
      </c>
      <c r="F13" s="15" t="n">
        <f aca="false">IF(OR($B13="",C13&lt;&gt;"Fed-batch",D13=0),0,IFERROR(N(INDEX('3 Feed regimes'!$B$6:$E$35,D13,MATCH(INDEX('2 Phases'!$F$7:$F$12,B13),'3 Feed regimes'!$B$4:$E$4,0)))*'1 Setup'!$B$5/100,0))</f>
        <v>0</v>
      </c>
      <c r="G13" s="15" t="n">
        <f aca="false">IF($B13="","",G12+F13)</f>
        <v>1.06</v>
      </c>
      <c r="H13" s="14" t="n">
        <f aca="false">IF($B13="","",(E12+E13)/2)</f>
        <v>7000000</v>
      </c>
      <c r="I13" s="15" t="n">
        <f aca="false">IF($B13="","",IF(C13="Continuous",N(INDEX('2 Phases'!$G$7:$G$12,B13))*G12,0))</f>
        <v>0.765744</v>
      </c>
      <c r="J13" s="15" t="n">
        <f aca="false">IF($B13="","",IF(C13="Continuous",N(INDEX('2 Phases'!$H$7:$H$12,B13))*G12,0))</f>
        <v>0.574000702771385</v>
      </c>
      <c r="K13" s="15" t="n">
        <f aca="false">IF($B13="","",I13-J13)</f>
        <v>0.191743297228615</v>
      </c>
      <c r="L13" s="14" t="n">
        <f aca="false">IF($B13="","",J13*1000*H13)</f>
        <v>4018004919.3997</v>
      </c>
      <c r="M13" s="15" t="n">
        <f aca="false">IF($B13="","",M12+F13+I13)</f>
        <v>3.357232</v>
      </c>
      <c r="N13" s="15" t="n">
        <f aca="false">IF($B13="","",N12+K13)</f>
        <v>0.575229891685845</v>
      </c>
      <c r="O13" s="15" t="n">
        <f aca="false">IF($B13="","",O12+J13)</f>
        <v>1.72200210831416</v>
      </c>
      <c r="P13" s="14" t="n">
        <f aca="false">IF($B13="","",P12+L13)</f>
        <v>12054014758.1991</v>
      </c>
      <c r="Q13" s="18" t="n">
        <f aca="false">IF(OR($B13="",Q12="",'1 Setup'!$C$10=""),"",IF(AND($C13="Continuous",N(INDEX('2 Phases'!$G$7:$G$12,B13))&gt;0),IF('1 Setup'!$G$10="","",MAX(0,('1 Setup'!$G$10+('1 Setup'!$H$10*'1 Setup'!$C$10*0.00000024*$H13)/N(INDEX('2 Phases'!$G$7:$G$12,B13)))+(((Q12*($G12-$F12)+N('1 Setup'!$F$10)*$F12)/$G12)-('1 Setup'!$G$10+('1 Setup'!$H$10*'1 Setup'!$C$10*0.00000024*$H13)/N(INDEX('2 Phases'!$G$7:$G$12,B13))))*EXP(-N(INDEX('2 Phases'!$G$7:$G$12,B13))))),MAX(0,((Q12*($G12-$F12)+N('1 Setup'!$F$10)*$F12)/$G12)+('1 Setup'!$H$10*'1 Setup'!$C$10*0.00000024*$H13))))</f>
        <v>7.75541966981482</v>
      </c>
      <c r="R13" s="18" t="n">
        <f aca="false">IF(OR($B13="",R12="",'1 Setup'!$C$11=""),"",IF(AND($C13="Continuous",N(INDEX('2 Phases'!$G$7:$G$12,B13))&gt;0),IF('1 Setup'!$G$11="","",MAX(0,('1 Setup'!$G$11+('1 Setup'!$H$11*'1 Setup'!$C$11*0.00000024*$H13)/N(INDEX('2 Phases'!$G$7:$G$12,B13)))+(((R12*($G12-$F12)+N('1 Setup'!$F$11)*$F12)/$G12)-('1 Setup'!$G$11+('1 Setup'!$H$11*'1 Setup'!$C$11*0.00000024*$H13)/N(INDEX('2 Phases'!$G$7:$G$12,B13))))*EXP(-N(INDEX('2 Phases'!$G$7:$G$12,B13))))),MAX(0,((R12*($G12-$F12)+N('1 Setup'!$F$11)*$F12)/$G12)+('1 Setup'!$H$11*'1 Setup'!$C$11*0.00000024*$H13))))</f>
        <v>20.3600172540194</v>
      </c>
      <c r="S13" s="18" t="str">
        <f aca="false">IF(OR($B13="",S12="",'1 Setup'!$C$12=""),"",IF(AND($C13="Continuous",N(INDEX('2 Phases'!$G$7:$G$12,B13))&gt;0),IF('1 Setup'!$G$12="","",MAX(0,('1 Setup'!$G$12+('1 Setup'!$H$12*'1 Setup'!$C$12*0.00000024*$H13)/N(INDEX('2 Phases'!$G$7:$G$12,B13)))+(((S12*($G12-$F12)+N('1 Setup'!$F$12)*$F12)/$G12)-('1 Setup'!$G$12+('1 Setup'!$H$12*'1 Setup'!$C$12*0.00000024*$H13)/N(INDEX('2 Phases'!$G$7:$G$12,B13))))*EXP(-N(INDEX('2 Phases'!$G$7:$G$12,B13))))),MAX(0,((S12*($G12-$F12)+N('1 Setup'!$F$12)*$F12)/$G12)+('1 Setup'!$H$12*'1 Setup'!$C$12*0.00000024*$H13))))</f>
        <v/>
      </c>
      <c r="T13" s="18" t="str">
        <f aca="false">IF(OR($B13="",T12="",'1 Setup'!$C$13=""),"",IF(AND($C13="Continuous",N(INDEX('2 Phases'!$G$7:$G$12,B13))&gt;0),IF('1 Setup'!$G$13="","",MAX(0,('1 Setup'!$G$13+('1 Setup'!$H$13*'1 Setup'!$C$13*0.00000024*$H13)/N(INDEX('2 Phases'!$G$7:$G$12,B13)))+(((T12*($G12-$F12)+N('1 Setup'!$F$13)*$F12)/$G12)-('1 Setup'!$G$13+('1 Setup'!$H$13*'1 Setup'!$C$13*0.00000024*$H13)/N(INDEX('2 Phases'!$G$7:$G$12,B13))))*EXP(-N(INDEX('2 Phases'!$G$7:$G$12,B13))))),MAX(0,((T12*($G12-$F12)+N('1 Setup'!$F$13)*$F12)/$G12)+('1 Setup'!$H$13*'1 Setup'!$C$13*0.00000024*$H13))))</f>
        <v/>
      </c>
      <c r="U13" s="18" t="str">
        <f aca="false">IF(OR($B13="",U12="",'1 Setup'!$C$14=""),"",IF(AND($C13="Continuous",N(INDEX('2 Phases'!$G$7:$G$12,B13))&gt;0),IF('1 Setup'!$G$14="","",MAX(0,('1 Setup'!$G$14+('1 Setup'!$H$14*'1 Setup'!$C$14*0.00000024*$H13)/N(INDEX('2 Phases'!$G$7:$G$12,B13)))+(((U12*($G12-$F12)+N('1 Setup'!$F$14)*$F12)/$G12)-('1 Setup'!$G$14+('1 Setup'!$H$14*'1 Setup'!$C$14*0.00000024*$H13)/N(INDEX('2 Phases'!$G$7:$G$12,B13))))*EXP(-N(INDEX('2 Phases'!$G$7:$G$12,B13))))),MAX(0,((U12*($G12-$F12)+N('1 Setup'!$F$14)*$F12)/$G12)+('1 Setup'!$H$14*'1 Setup'!$C$14*0.00000024*$H13))))</f>
        <v/>
      </c>
      <c r="V13" s="18" t="n">
        <f aca="false">IF($B13="","",E13/1000000*'1 Setup'!$B$7)</f>
        <v>14</v>
      </c>
      <c r="W13" s="18" t="n">
        <f aca="false">IF($B13="","",V13*G13)</f>
        <v>14.84</v>
      </c>
      <c r="X13" s="18" t="n">
        <f aca="false">IF($B13="","",P13*'1 Setup'!$B$7/1000000000)</f>
        <v>24.1080295163982</v>
      </c>
      <c r="Y13" s="18" t="n">
        <f aca="false">IF($B13="","",L13*'1 Setup'!$B$7/1000000000)</f>
        <v>8.03600983879939</v>
      </c>
    </row>
    <row r="14" customFormat="false" ht="15" hidden="false" customHeight="false" outlineLevel="0" collapsed="false">
      <c r="A14" s="7" t="n">
        <v>8</v>
      </c>
      <c r="B14" s="7" t="n">
        <f aca="false">IF(A14&gt;'2 Phases'!$D$4,"",IF(A14=0,1,COUNTIF('2 Phases'!$M$7:$M$12,"&lt;"&amp;A14)+1))</f>
        <v>3</v>
      </c>
      <c r="C14" s="7" t="str">
        <f aca="false">IF($B14="","",INDEX('2 Phases'!$C$7:$C$12,B14))</f>
        <v>Continuous</v>
      </c>
      <c r="D14" s="7" t="n">
        <f aca="false">IF($B14="","",A14-INDEX('2 Phases'!$L$7:$L$12,B14))</f>
        <v>4</v>
      </c>
      <c r="E14" s="14" t="n">
        <f aca="false">IF($B14="","",IFERROR(IF(C14="Continuous",INDEX('2 Phases'!$N$7:$N$12,B14)*EXP((INDEX('2 Phases'!$P$7:$P$12,B14)-N(INDEX('2 Phases'!$H$7:$H$12,B14)))*D14),INDEX('2 Phases'!$N$7:$N$12,B14)*(IF(INDEX('2 Phases'!$E$7:$E$12,B14)="",INDEX('2 Phases'!$N$7:$N$12,B14),INDEX('2 Phases'!$E$7:$E$12,B14))/INDEX('2 Phases'!$N$7:$N$12,B14))^(D14/INDEX('2 Phases'!$D$7:$D$12,B14))),""))</f>
        <v>7000000</v>
      </c>
      <c r="F14" s="15" t="n">
        <f aca="false">IF(OR($B14="",C14&lt;&gt;"Fed-batch",D14=0),0,IFERROR(N(INDEX('3 Feed regimes'!$B$6:$E$35,D14,MATCH(INDEX('2 Phases'!$F$7:$F$12,B14),'3 Feed regimes'!$B$4:$E$4,0)))*'1 Setup'!$B$5/100,0))</f>
        <v>0</v>
      </c>
      <c r="G14" s="15" t="n">
        <f aca="false">IF($B14="","",G13+F14)</f>
        <v>1.06</v>
      </c>
      <c r="H14" s="14" t="n">
        <f aca="false">IF($B14="","",(E13+E14)/2)</f>
        <v>7000000</v>
      </c>
      <c r="I14" s="15" t="n">
        <f aca="false">IF($B14="","",IF(C14="Continuous",N(INDEX('2 Phases'!$G$7:$G$12,B14))*G13,0))</f>
        <v>0.765744</v>
      </c>
      <c r="J14" s="15" t="n">
        <f aca="false">IF($B14="","",IF(C14="Continuous",N(INDEX('2 Phases'!$H$7:$H$12,B14))*G13,0))</f>
        <v>0.574000702771385</v>
      </c>
      <c r="K14" s="15" t="n">
        <f aca="false">IF($B14="","",I14-J14)</f>
        <v>0.191743297228615</v>
      </c>
      <c r="L14" s="14" t="n">
        <f aca="false">IF($B14="","",J14*1000*H14)</f>
        <v>4018004919.3997</v>
      </c>
      <c r="M14" s="15" t="n">
        <f aca="false">IF($B14="","",M13+F14+I14)</f>
        <v>4.122976</v>
      </c>
      <c r="N14" s="15" t="n">
        <f aca="false">IF($B14="","",N13+K14)</f>
        <v>0.76697318891446</v>
      </c>
      <c r="O14" s="15" t="n">
        <f aca="false">IF($B14="","",O13+J14)</f>
        <v>2.29600281108554</v>
      </c>
      <c r="P14" s="14" t="n">
        <f aca="false">IF($B14="","",P13+L14)</f>
        <v>16072019677.5988</v>
      </c>
      <c r="Q14" s="18" t="n">
        <f aca="false">IF(OR($B14="",Q13="",'1 Setup'!$C$10=""),"",IF(AND($C14="Continuous",N(INDEX('2 Phases'!$G$7:$G$12,B14))&gt;0),IF('1 Setup'!$G$10="","",MAX(0,('1 Setup'!$G$10+('1 Setup'!$H$10*'1 Setup'!$C$10*0.00000024*$H14)/N(INDEX('2 Phases'!$G$7:$G$12,B14)))+(((Q13*($G13-$F13)+N('1 Setup'!$F$10)*$F13)/$G13)-('1 Setup'!$G$10+('1 Setup'!$H$10*'1 Setup'!$C$10*0.00000024*$H14)/N(INDEX('2 Phases'!$G$7:$G$12,B14))))*EXP(-N(INDEX('2 Phases'!$G$7:$G$12,B14))))),MAX(0,((Q13*($G13-$F13)+N('1 Setup'!$F$10)*$F13)/$G13)+('1 Setup'!$H$10*'1 Setup'!$C$10*0.00000024*$H14))))</f>
        <v>7.17541073662308</v>
      </c>
      <c r="R14" s="18" t="n">
        <f aca="false">IF(OR($B14="",R13="",'1 Setup'!$C$11=""),"",IF(AND($C14="Continuous",N(INDEX('2 Phases'!$G$7:$G$12,B14))&gt;0),IF('1 Setup'!$G$11="","",MAX(0,('1 Setup'!$G$11+('1 Setup'!$H$11*'1 Setup'!$C$11*0.00000024*$H14)/N(INDEX('2 Phases'!$G$7:$G$12,B14)))+(((R13*($G13-$F13)+N('1 Setup'!$F$11)*$F13)/$G13)-('1 Setup'!$G$11+('1 Setup'!$H$11*'1 Setup'!$C$11*0.00000024*$H14)/N(INDEX('2 Phases'!$G$7:$G$12,B14))))*EXP(-N(INDEX('2 Phases'!$G$7:$G$12,B14))))),MAX(0,((R13*($G13-$F13)+N('1 Setup'!$F$11)*$F13)/$G13)+('1 Setup'!$H$11*'1 Setup'!$C$11*0.00000024*$H14))))</f>
        <v>20.1748191407585</v>
      </c>
      <c r="S14" s="18" t="str">
        <f aca="false">IF(OR($B14="",S13="",'1 Setup'!$C$12=""),"",IF(AND($C14="Continuous",N(INDEX('2 Phases'!$G$7:$G$12,B14))&gt;0),IF('1 Setup'!$G$12="","",MAX(0,('1 Setup'!$G$12+('1 Setup'!$H$12*'1 Setup'!$C$12*0.00000024*$H14)/N(INDEX('2 Phases'!$G$7:$G$12,B14)))+(((S13*($G13-$F13)+N('1 Setup'!$F$12)*$F13)/$G13)-('1 Setup'!$G$12+('1 Setup'!$H$12*'1 Setup'!$C$12*0.00000024*$H14)/N(INDEX('2 Phases'!$G$7:$G$12,B14))))*EXP(-N(INDEX('2 Phases'!$G$7:$G$12,B14))))),MAX(0,((S13*($G13-$F13)+N('1 Setup'!$F$12)*$F13)/$G13)+('1 Setup'!$H$12*'1 Setup'!$C$12*0.00000024*$H14))))</f>
        <v/>
      </c>
      <c r="T14" s="18" t="str">
        <f aca="false">IF(OR($B14="",T13="",'1 Setup'!$C$13=""),"",IF(AND($C14="Continuous",N(INDEX('2 Phases'!$G$7:$G$12,B14))&gt;0),IF('1 Setup'!$G$13="","",MAX(0,('1 Setup'!$G$13+('1 Setup'!$H$13*'1 Setup'!$C$13*0.00000024*$H14)/N(INDEX('2 Phases'!$G$7:$G$12,B14)))+(((T13*($G13-$F13)+N('1 Setup'!$F$13)*$F13)/$G13)-('1 Setup'!$G$13+('1 Setup'!$H$13*'1 Setup'!$C$13*0.00000024*$H14)/N(INDEX('2 Phases'!$G$7:$G$12,B14))))*EXP(-N(INDEX('2 Phases'!$G$7:$G$12,B14))))),MAX(0,((T13*($G13-$F13)+N('1 Setup'!$F$13)*$F13)/$G13)+('1 Setup'!$H$13*'1 Setup'!$C$13*0.00000024*$H14))))</f>
        <v/>
      </c>
      <c r="U14" s="18" t="str">
        <f aca="false">IF(OR($B14="",U13="",'1 Setup'!$C$14=""),"",IF(AND($C14="Continuous",N(INDEX('2 Phases'!$G$7:$G$12,B14))&gt;0),IF('1 Setup'!$G$14="","",MAX(0,('1 Setup'!$G$14+('1 Setup'!$H$14*'1 Setup'!$C$14*0.00000024*$H14)/N(INDEX('2 Phases'!$G$7:$G$12,B14)))+(((U13*($G13-$F13)+N('1 Setup'!$F$14)*$F13)/$G13)-('1 Setup'!$G$14+('1 Setup'!$H$14*'1 Setup'!$C$14*0.00000024*$H14)/N(INDEX('2 Phases'!$G$7:$G$12,B14))))*EXP(-N(INDEX('2 Phases'!$G$7:$G$12,B14))))),MAX(0,((U13*($G13-$F13)+N('1 Setup'!$F$14)*$F13)/$G13)+('1 Setup'!$H$14*'1 Setup'!$C$14*0.00000024*$H14))))</f>
        <v/>
      </c>
      <c r="V14" s="18" t="n">
        <f aca="false">IF($B14="","",E14/1000000*'1 Setup'!$B$7)</f>
        <v>14</v>
      </c>
      <c r="W14" s="18" t="n">
        <f aca="false">IF($B14="","",V14*G14)</f>
        <v>14.84</v>
      </c>
      <c r="X14" s="18" t="n">
        <f aca="false">IF($B14="","",P14*'1 Setup'!$B$7/1000000000)</f>
        <v>32.1440393551976</v>
      </c>
      <c r="Y14" s="18" t="n">
        <f aca="false">IF($B14="","",L14*'1 Setup'!$B$7/1000000000)</f>
        <v>8.03600983879939</v>
      </c>
    </row>
    <row r="15" customFormat="false" ht="15" hidden="false" customHeight="false" outlineLevel="0" collapsed="false">
      <c r="A15" s="7" t="n">
        <v>9</v>
      </c>
      <c r="B15" s="7" t="n">
        <f aca="false">IF(A15&gt;'2 Phases'!$D$4,"",IF(A15=0,1,COUNTIF('2 Phases'!$M$7:$M$12,"&lt;"&amp;A15)+1))</f>
        <v>3</v>
      </c>
      <c r="C15" s="7" t="str">
        <f aca="false">IF($B15="","",INDEX('2 Phases'!$C$7:$C$12,B15))</f>
        <v>Continuous</v>
      </c>
      <c r="D15" s="7" t="n">
        <f aca="false">IF($B15="","",A15-INDEX('2 Phases'!$L$7:$L$12,B15))</f>
        <v>5</v>
      </c>
      <c r="E15" s="14" t="n">
        <f aca="false">IF($B15="","",IFERROR(IF(C15="Continuous",INDEX('2 Phases'!$N$7:$N$12,B15)*EXP((INDEX('2 Phases'!$P$7:$P$12,B15)-N(INDEX('2 Phases'!$H$7:$H$12,B15)))*D15),INDEX('2 Phases'!$N$7:$N$12,B15)*(IF(INDEX('2 Phases'!$E$7:$E$12,B15)="",INDEX('2 Phases'!$N$7:$N$12,B15),INDEX('2 Phases'!$E$7:$E$12,B15))/INDEX('2 Phases'!$N$7:$N$12,B15))^(D15/INDEX('2 Phases'!$D$7:$D$12,B15))),""))</f>
        <v>7000000</v>
      </c>
      <c r="F15" s="15" t="n">
        <f aca="false">IF(OR($B15="",C15&lt;&gt;"Fed-batch",D15=0),0,IFERROR(N(INDEX('3 Feed regimes'!$B$6:$E$35,D15,MATCH(INDEX('2 Phases'!$F$7:$F$12,B15),'3 Feed regimes'!$B$4:$E$4,0)))*'1 Setup'!$B$5/100,0))</f>
        <v>0</v>
      </c>
      <c r="G15" s="15" t="n">
        <f aca="false">IF($B15="","",G14+F15)</f>
        <v>1.06</v>
      </c>
      <c r="H15" s="14" t="n">
        <f aca="false">IF($B15="","",(E14+E15)/2)</f>
        <v>7000000</v>
      </c>
      <c r="I15" s="15" t="n">
        <f aca="false">IF($B15="","",IF(C15="Continuous",N(INDEX('2 Phases'!$G$7:$G$12,B15))*G14,0))</f>
        <v>0.765744</v>
      </c>
      <c r="J15" s="15" t="n">
        <f aca="false">IF($B15="","",IF(C15="Continuous",N(INDEX('2 Phases'!$H$7:$H$12,B15))*G14,0))</f>
        <v>0.574000702771385</v>
      </c>
      <c r="K15" s="15" t="n">
        <f aca="false">IF($B15="","",I15-J15)</f>
        <v>0.191743297228615</v>
      </c>
      <c r="L15" s="14" t="n">
        <f aca="false">IF($B15="","",J15*1000*H15)</f>
        <v>4018004919.3997</v>
      </c>
      <c r="M15" s="15" t="n">
        <f aca="false">IF($B15="","",M14+F15+I15)</f>
        <v>4.88872</v>
      </c>
      <c r="N15" s="15" t="n">
        <f aca="false">IF($B15="","",N14+K15)</f>
        <v>0.958716486143075</v>
      </c>
      <c r="O15" s="15" t="n">
        <f aca="false">IF($B15="","",O14+J15)</f>
        <v>2.87000351385693</v>
      </c>
      <c r="P15" s="14" t="n">
        <f aca="false">IF($B15="","",P14+L15)</f>
        <v>20090024596.9985</v>
      </c>
      <c r="Q15" s="18" t="n">
        <f aca="false">IF(OR($B15="",Q14="",'1 Setup'!$C$10=""),"",IF(AND($C15="Continuous",N(INDEX('2 Phases'!$G$7:$G$12,B15))&gt;0),IF('1 Setup'!$G$10="","",MAX(0,('1 Setup'!$G$10+('1 Setup'!$H$10*'1 Setup'!$C$10*0.00000024*$H15)/N(INDEX('2 Phases'!$G$7:$G$12,B15)))+(((Q14*($G14-$F14)+N('1 Setup'!$F$10)*$F14)/$G14)-('1 Setup'!$G$10+('1 Setup'!$H$10*'1 Setup'!$C$10*0.00000024*$H15)/N(INDEX('2 Phases'!$G$7:$G$12,B15))))*EXP(-N(INDEX('2 Phases'!$G$7:$G$12,B15))))),MAX(0,((Q14*($G14-$F14)+N('1 Setup'!$F$10)*$F14)/$G14)+('1 Setup'!$H$10*'1 Setup'!$C$10*0.00000024*$H15))))</f>
        <v>6.89376683705774</v>
      </c>
      <c r="R15" s="18" t="n">
        <f aca="false">IF(OR($B15="",R14="",'1 Setup'!$C$11=""),"",IF(AND($C15="Continuous",N(INDEX('2 Phases'!$G$7:$G$12,B15))&gt;0),IF('1 Setup'!$G$11="","",MAX(0,('1 Setup'!$G$11+('1 Setup'!$H$11*'1 Setup'!$C$11*0.00000024*$H15)/N(INDEX('2 Phases'!$G$7:$G$12,B15)))+(((R14*($G14-$F14)+N('1 Setup'!$F$11)*$F14)/$G14)-('1 Setup'!$G$11+('1 Setup'!$H$11*'1 Setup'!$C$11*0.00000024*$H15)/N(INDEX('2 Phases'!$G$7:$G$12,B15))))*EXP(-N(INDEX('2 Phases'!$G$7:$G$12,B15))))),MAX(0,((R14*($G14-$F14)+N('1 Setup'!$F$11)*$F14)/$G14)+('1 Setup'!$H$11*'1 Setup'!$C$11*0.00000024*$H15))))</f>
        <v>20.0848896313561</v>
      </c>
      <c r="S15" s="18" t="str">
        <f aca="false">IF(OR($B15="",S14="",'1 Setup'!$C$12=""),"",IF(AND($C15="Continuous",N(INDEX('2 Phases'!$G$7:$G$12,B15))&gt;0),IF('1 Setup'!$G$12="","",MAX(0,('1 Setup'!$G$12+('1 Setup'!$H$12*'1 Setup'!$C$12*0.00000024*$H15)/N(INDEX('2 Phases'!$G$7:$G$12,B15)))+(((S14*($G14-$F14)+N('1 Setup'!$F$12)*$F14)/$G14)-('1 Setup'!$G$12+('1 Setup'!$H$12*'1 Setup'!$C$12*0.00000024*$H15)/N(INDEX('2 Phases'!$G$7:$G$12,B15))))*EXP(-N(INDEX('2 Phases'!$G$7:$G$12,B15))))),MAX(0,((S14*($G14-$F14)+N('1 Setup'!$F$12)*$F14)/$G14)+('1 Setup'!$H$12*'1 Setup'!$C$12*0.00000024*$H15))))</f>
        <v/>
      </c>
      <c r="T15" s="18" t="str">
        <f aca="false">IF(OR($B15="",T14="",'1 Setup'!$C$13=""),"",IF(AND($C15="Continuous",N(INDEX('2 Phases'!$G$7:$G$12,B15))&gt;0),IF('1 Setup'!$G$13="","",MAX(0,('1 Setup'!$G$13+('1 Setup'!$H$13*'1 Setup'!$C$13*0.00000024*$H15)/N(INDEX('2 Phases'!$G$7:$G$12,B15)))+(((T14*($G14-$F14)+N('1 Setup'!$F$13)*$F14)/$G14)-('1 Setup'!$G$13+('1 Setup'!$H$13*'1 Setup'!$C$13*0.00000024*$H15)/N(INDEX('2 Phases'!$G$7:$G$12,B15))))*EXP(-N(INDEX('2 Phases'!$G$7:$G$12,B15))))),MAX(0,((T14*($G14-$F14)+N('1 Setup'!$F$13)*$F14)/$G14)+('1 Setup'!$H$13*'1 Setup'!$C$13*0.00000024*$H15))))</f>
        <v/>
      </c>
      <c r="U15" s="18" t="str">
        <f aca="false">IF(OR($B15="",U14="",'1 Setup'!$C$14=""),"",IF(AND($C15="Continuous",N(INDEX('2 Phases'!$G$7:$G$12,B15))&gt;0),IF('1 Setup'!$G$14="","",MAX(0,('1 Setup'!$G$14+('1 Setup'!$H$14*'1 Setup'!$C$14*0.00000024*$H15)/N(INDEX('2 Phases'!$G$7:$G$12,B15)))+(((U14*($G14-$F14)+N('1 Setup'!$F$14)*$F14)/$G14)-('1 Setup'!$G$14+('1 Setup'!$H$14*'1 Setup'!$C$14*0.00000024*$H15)/N(INDEX('2 Phases'!$G$7:$G$12,B15))))*EXP(-N(INDEX('2 Phases'!$G$7:$G$12,B15))))),MAX(0,((U14*($G14-$F14)+N('1 Setup'!$F$14)*$F14)/$G14)+('1 Setup'!$H$14*'1 Setup'!$C$14*0.00000024*$H15))))</f>
        <v/>
      </c>
      <c r="V15" s="18" t="n">
        <f aca="false">IF($B15="","",E15/1000000*'1 Setup'!$B$7)</f>
        <v>14</v>
      </c>
      <c r="W15" s="18" t="n">
        <f aca="false">IF($B15="","",V15*G15)</f>
        <v>14.84</v>
      </c>
      <c r="X15" s="18" t="n">
        <f aca="false">IF($B15="","",P15*'1 Setup'!$B$7/1000000000)</f>
        <v>40.180049193997</v>
      </c>
      <c r="Y15" s="18" t="n">
        <f aca="false">IF($B15="","",L15*'1 Setup'!$B$7/1000000000)</f>
        <v>8.03600983879939</v>
      </c>
    </row>
    <row r="16" customFormat="false" ht="15" hidden="false" customHeight="false" outlineLevel="0" collapsed="false">
      <c r="A16" s="7" t="n">
        <v>10</v>
      </c>
      <c r="B16" s="7" t="n">
        <f aca="false">IF(A16&gt;'2 Phases'!$D$4,"",IF(A16=0,1,COUNTIF('2 Phases'!$M$7:$M$12,"&lt;"&amp;A16)+1))</f>
        <v>3</v>
      </c>
      <c r="C16" s="7" t="str">
        <f aca="false">IF($B16="","",INDEX('2 Phases'!$C$7:$C$12,B16))</f>
        <v>Continuous</v>
      </c>
      <c r="D16" s="7" t="n">
        <f aca="false">IF($B16="","",A16-INDEX('2 Phases'!$L$7:$L$12,B16))</f>
        <v>6</v>
      </c>
      <c r="E16" s="14" t="n">
        <f aca="false">IF($B16="","",IFERROR(IF(C16="Continuous",INDEX('2 Phases'!$N$7:$N$12,B16)*EXP((INDEX('2 Phases'!$P$7:$P$12,B16)-N(INDEX('2 Phases'!$H$7:$H$12,B16)))*D16),INDEX('2 Phases'!$N$7:$N$12,B16)*(IF(INDEX('2 Phases'!$E$7:$E$12,B16)="",INDEX('2 Phases'!$N$7:$N$12,B16),INDEX('2 Phases'!$E$7:$E$12,B16))/INDEX('2 Phases'!$N$7:$N$12,B16))^(D16/INDEX('2 Phases'!$D$7:$D$12,B16))),""))</f>
        <v>7000000</v>
      </c>
      <c r="F16" s="15" t="n">
        <f aca="false">IF(OR($B16="",C16&lt;&gt;"Fed-batch",D16=0),0,IFERROR(N(INDEX('3 Feed regimes'!$B$6:$E$35,D16,MATCH(INDEX('2 Phases'!$F$7:$F$12,B16),'3 Feed regimes'!$B$4:$E$4,0)))*'1 Setup'!$B$5/100,0))</f>
        <v>0</v>
      </c>
      <c r="G16" s="15" t="n">
        <f aca="false">IF($B16="","",G15+F16)</f>
        <v>1.06</v>
      </c>
      <c r="H16" s="14" t="n">
        <f aca="false">IF($B16="","",(E15+E16)/2)</f>
        <v>7000000</v>
      </c>
      <c r="I16" s="15" t="n">
        <f aca="false">IF($B16="","",IF(C16="Continuous",N(INDEX('2 Phases'!$G$7:$G$12,B16))*G15,0))</f>
        <v>0.765744</v>
      </c>
      <c r="J16" s="15" t="n">
        <f aca="false">IF($B16="","",IF(C16="Continuous",N(INDEX('2 Phases'!$H$7:$H$12,B16))*G15,0))</f>
        <v>0.574000702771385</v>
      </c>
      <c r="K16" s="15" t="n">
        <f aca="false">IF($B16="","",I16-J16)</f>
        <v>0.191743297228615</v>
      </c>
      <c r="L16" s="14" t="n">
        <f aca="false">IF($B16="","",J16*1000*H16)</f>
        <v>4018004919.3997</v>
      </c>
      <c r="M16" s="15" t="n">
        <f aca="false">IF($B16="","",M15+F16+I16)</f>
        <v>5.654464</v>
      </c>
      <c r="N16" s="15" t="n">
        <f aca="false">IF($B16="","",N15+K16)</f>
        <v>1.15045978337169</v>
      </c>
      <c r="O16" s="15" t="n">
        <f aca="false">IF($B16="","",O15+J16)</f>
        <v>3.44400421662831</v>
      </c>
      <c r="P16" s="14" t="n">
        <f aca="false">IF($B16="","",P15+L16)</f>
        <v>24108029516.3982</v>
      </c>
      <c r="Q16" s="18" t="n">
        <f aca="false">IF(OR($B16="",Q15="",'1 Setup'!$C$10=""),"",IF(AND($C16="Continuous",N(INDEX('2 Phases'!$G$7:$G$12,B16))&gt;0),IF('1 Setup'!$G$10="","",MAX(0,('1 Setup'!$G$10+('1 Setup'!$H$10*'1 Setup'!$C$10*0.00000024*$H16)/N(INDEX('2 Phases'!$G$7:$G$12,B16)))+(((Q15*($G15-$F15)+N('1 Setup'!$F$10)*$F15)/$G15)-('1 Setup'!$G$10+('1 Setup'!$H$10*'1 Setup'!$C$10*0.00000024*$H16)/N(INDEX('2 Phases'!$G$7:$G$12,B16))))*EXP(-N(INDEX('2 Phases'!$G$7:$G$12,B16))))),MAX(0,((Q15*($G15-$F15)+N('1 Setup'!$F$10)*$F15)/$G15)+('1 Setup'!$H$10*'1 Setup'!$C$10*0.00000024*$H16))))</f>
        <v>6.75700465698949</v>
      </c>
      <c r="R16" s="18" t="n">
        <f aca="false">IF(OR($B16="",R15="",'1 Setup'!$C$11=""),"",IF(AND($C16="Continuous",N(INDEX('2 Phases'!$G$7:$G$12,B16))&gt;0),IF('1 Setup'!$G$11="","",MAX(0,('1 Setup'!$G$11+('1 Setup'!$H$11*'1 Setup'!$C$11*0.00000024*$H16)/N(INDEX('2 Phases'!$G$7:$G$12,B16)))+(((R15*($G15-$F15)+N('1 Setup'!$F$11)*$F15)/$G15)-('1 Setup'!$G$11+('1 Setup'!$H$11*'1 Setup'!$C$11*0.00000024*$H16)/N(INDEX('2 Phases'!$G$7:$G$12,B16))))*EXP(-N(INDEX('2 Phases'!$G$7:$G$12,B16))))),MAX(0,((R15*($G15-$F15)+N('1 Setup'!$F$11)*$F15)/$G15)+('1 Setup'!$H$11*'1 Setup'!$C$11*0.00000024*$H16))))</f>
        <v>20.0412211699503</v>
      </c>
      <c r="S16" s="18" t="str">
        <f aca="false">IF(OR($B16="",S15="",'1 Setup'!$C$12=""),"",IF(AND($C16="Continuous",N(INDEX('2 Phases'!$G$7:$G$12,B16))&gt;0),IF('1 Setup'!$G$12="","",MAX(0,('1 Setup'!$G$12+('1 Setup'!$H$12*'1 Setup'!$C$12*0.00000024*$H16)/N(INDEX('2 Phases'!$G$7:$G$12,B16)))+(((S15*($G15-$F15)+N('1 Setup'!$F$12)*$F15)/$G15)-('1 Setup'!$G$12+('1 Setup'!$H$12*'1 Setup'!$C$12*0.00000024*$H16)/N(INDEX('2 Phases'!$G$7:$G$12,B16))))*EXP(-N(INDEX('2 Phases'!$G$7:$G$12,B16))))),MAX(0,((S15*($G15-$F15)+N('1 Setup'!$F$12)*$F15)/$G15)+('1 Setup'!$H$12*'1 Setup'!$C$12*0.00000024*$H16))))</f>
        <v/>
      </c>
      <c r="T16" s="18" t="str">
        <f aca="false">IF(OR($B16="",T15="",'1 Setup'!$C$13=""),"",IF(AND($C16="Continuous",N(INDEX('2 Phases'!$G$7:$G$12,B16))&gt;0),IF('1 Setup'!$G$13="","",MAX(0,('1 Setup'!$G$13+('1 Setup'!$H$13*'1 Setup'!$C$13*0.00000024*$H16)/N(INDEX('2 Phases'!$G$7:$G$12,B16)))+(((T15*($G15-$F15)+N('1 Setup'!$F$13)*$F15)/$G15)-('1 Setup'!$G$13+('1 Setup'!$H$13*'1 Setup'!$C$13*0.00000024*$H16)/N(INDEX('2 Phases'!$G$7:$G$12,B16))))*EXP(-N(INDEX('2 Phases'!$G$7:$G$12,B16))))),MAX(0,((T15*($G15-$F15)+N('1 Setup'!$F$13)*$F15)/$G15)+('1 Setup'!$H$13*'1 Setup'!$C$13*0.00000024*$H16))))</f>
        <v/>
      </c>
      <c r="U16" s="18" t="str">
        <f aca="false">IF(OR($B16="",U15="",'1 Setup'!$C$14=""),"",IF(AND($C16="Continuous",N(INDEX('2 Phases'!$G$7:$G$12,B16))&gt;0),IF('1 Setup'!$G$14="","",MAX(0,('1 Setup'!$G$14+('1 Setup'!$H$14*'1 Setup'!$C$14*0.00000024*$H16)/N(INDEX('2 Phases'!$G$7:$G$12,B16)))+(((U15*($G15-$F15)+N('1 Setup'!$F$14)*$F15)/$G15)-('1 Setup'!$G$14+('1 Setup'!$H$14*'1 Setup'!$C$14*0.00000024*$H16)/N(INDEX('2 Phases'!$G$7:$G$12,B16))))*EXP(-N(INDEX('2 Phases'!$G$7:$G$12,B16))))),MAX(0,((U15*($G15-$F15)+N('1 Setup'!$F$14)*$F15)/$G15)+('1 Setup'!$H$14*'1 Setup'!$C$14*0.00000024*$H16))))</f>
        <v/>
      </c>
      <c r="V16" s="18" t="n">
        <f aca="false">IF($B16="","",E16/1000000*'1 Setup'!$B$7)</f>
        <v>14</v>
      </c>
      <c r="W16" s="18" t="n">
        <f aca="false">IF($B16="","",V16*G16)</f>
        <v>14.84</v>
      </c>
      <c r="X16" s="18" t="n">
        <f aca="false">IF($B16="","",P16*'1 Setup'!$B$7/1000000000)</f>
        <v>48.2160590327963</v>
      </c>
      <c r="Y16" s="18" t="n">
        <f aca="false">IF($B16="","",L16*'1 Setup'!$B$7/1000000000)</f>
        <v>8.03600983879939</v>
      </c>
    </row>
    <row r="17" customFormat="false" ht="15" hidden="false" customHeight="false" outlineLevel="0" collapsed="false">
      <c r="A17" s="7" t="n">
        <v>11</v>
      </c>
      <c r="B17" s="7" t="n">
        <f aca="false">IF(A17&gt;'2 Phases'!$D$4,"",IF(A17=0,1,COUNTIF('2 Phases'!$M$7:$M$12,"&lt;"&amp;A17)+1))</f>
        <v>3</v>
      </c>
      <c r="C17" s="7" t="str">
        <f aca="false">IF($B17="","",INDEX('2 Phases'!$C$7:$C$12,B17))</f>
        <v>Continuous</v>
      </c>
      <c r="D17" s="7" t="n">
        <f aca="false">IF($B17="","",A17-INDEX('2 Phases'!$L$7:$L$12,B17))</f>
        <v>7</v>
      </c>
      <c r="E17" s="14" t="n">
        <f aca="false">IF($B17="","",IFERROR(IF(C17="Continuous",INDEX('2 Phases'!$N$7:$N$12,B17)*EXP((INDEX('2 Phases'!$P$7:$P$12,B17)-N(INDEX('2 Phases'!$H$7:$H$12,B17)))*D17),INDEX('2 Phases'!$N$7:$N$12,B17)*(IF(INDEX('2 Phases'!$E$7:$E$12,B17)="",INDEX('2 Phases'!$N$7:$N$12,B17),INDEX('2 Phases'!$E$7:$E$12,B17))/INDEX('2 Phases'!$N$7:$N$12,B17))^(D17/INDEX('2 Phases'!$D$7:$D$12,B17))),""))</f>
        <v>7000000</v>
      </c>
      <c r="F17" s="15" t="n">
        <f aca="false">IF(OR($B17="",C17&lt;&gt;"Fed-batch",D17=0),0,IFERROR(N(INDEX('3 Feed regimes'!$B$6:$E$35,D17,MATCH(INDEX('2 Phases'!$F$7:$F$12,B17),'3 Feed regimes'!$B$4:$E$4,0)))*'1 Setup'!$B$5/100,0))</f>
        <v>0</v>
      </c>
      <c r="G17" s="15" t="n">
        <f aca="false">IF($B17="","",G16+F17)</f>
        <v>1.06</v>
      </c>
      <c r="H17" s="14" t="n">
        <f aca="false">IF($B17="","",(E16+E17)/2)</f>
        <v>7000000</v>
      </c>
      <c r="I17" s="15" t="n">
        <f aca="false">IF($B17="","",IF(C17="Continuous",N(INDEX('2 Phases'!$G$7:$G$12,B17))*G16,0))</f>
        <v>0.765744</v>
      </c>
      <c r="J17" s="15" t="n">
        <f aca="false">IF($B17="","",IF(C17="Continuous",N(INDEX('2 Phases'!$H$7:$H$12,B17))*G16,0))</f>
        <v>0.574000702771385</v>
      </c>
      <c r="K17" s="15" t="n">
        <f aca="false">IF($B17="","",I17-J17)</f>
        <v>0.191743297228615</v>
      </c>
      <c r="L17" s="14" t="n">
        <f aca="false">IF($B17="","",J17*1000*H17)</f>
        <v>4018004919.3997</v>
      </c>
      <c r="M17" s="15" t="n">
        <f aca="false">IF($B17="","",M16+F17+I17)</f>
        <v>6.420208</v>
      </c>
      <c r="N17" s="15" t="n">
        <f aca="false">IF($B17="","",N16+K17)</f>
        <v>1.3422030806003</v>
      </c>
      <c r="O17" s="15" t="n">
        <f aca="false">IF($B17="","",O16+J17)</f>
        <v>4.0180049193997</v>
      </c>
      <c r="P17" s="14" t="n">
        <f aca="false">IF($B17="","",P16+L17)</f>
        <v>28126034435.7979</v>
      </c>
      <c r="Q17" s="18" t="n">
        <f aca="false">IF(OR($B17="",Q16="",'1 Setup'!$C$10=""),"",IF(AND($C17="Continuous",N(INDEX('2 Phases'!$G$7:$G$12,B17))&gt;0),IF('1 Setup'!$G$10="","",MAX(0,('1 Setup'!$G$10+('1 Setup'!$H$10*'1 Setup'!$C$10*0.00000024*$H17)/N(INDEX('2 Phases'!$G$7:$G$12,B17)))+(((Q16*($G16-$F16)+N('1 Setup'!$F$10)*$F16)/$G16)-('1 Setup'!$G$10+('1 Setup'!$H$10*'1 Setup'!$C$10*0.00000024*$H17)/N(INDEX('2 Phases'!$G$7:$G$12,B17))))*EXP(-N(INDEX('2 Phases'!$G$7:$G$12,B17))))),MAX(0,((Q16*($G16-$F16)+N('1 Setup'!$F$10)*$F16)/$G16)+('1 Setup'!$H$10*'1 Setup'!$C$10*0.00000024*$H17))))</f>
        <v>6.69059493206419</v>
      </c>
      <c r="R17" s="18" t="n">
        <f aca="false">IF(OR($B17="",R16="",'1 Setup'!$C$11=""),"",IF(AND($C17="Continuous",N(INDEX('2 Phases'!$G$7:$G$12,B17))&gt;0),IF('1 Setup'!$G$11="","",MAX(0,('1 Setup'!$G$11+('1 Setup'!$H$11*'1 Setup'!$C$11*0.00000024*$H17)/N(INDEX('2 Phases'!$G$7:$G$12,B17)))+(((R16*($G16-$F16)+N('1 Setup'!$F$11)*$F16)/$G16)-('1 Setup'!$G$11+('1 Setup'!$H$11*'1 Setup'!$C$11*0.00000024*$H17)/N(INDEX('2 Phases'!$G$7:$G$12,B17))))*EXP(-N(INDEX('2 Phases'!$G$7:$G$12,B17))))),MAX(0,((R16*($G16-$F16)+N('1 Setup'!$F$11)*$F16)/$G16)+('1 Setup'!$H$11*'1 Setup'!$C$11*0.00000024*$H17))))</f>
        <v>20.0200164004123</v>
      </c>
      <c r="S17" s="18" t="str">
        <f aca="false">IF(OR($B17="",S16="",'1 Setup'!$C$12=""),"",IF(AND($C17="Continuous",N(INDEX('2 Phases'!$G$7:$G$12,B17))&gt;0),IF('1 Setup'!$G$12="","",MAX(0,('1 Setup'!$G$12+('1 Setup'!$H$12*'1 Setup'!$C$12*0.00000024*$H17)/N(INDEX('2 Phases'!$G$7:$G$12,B17)))+(((S16*($G16-$F16)+N('1 Setup'!$F$12)*$F16)/$G16)-('1 Setup'!$G$12+('1 Setup'!$H$12*'1 Setup'!$C$12*0.00000024*$H17)/N(INDEX('2 Phases'!$G$7:$G$12,B17))))*EXP(-N(INDEX('2 Phases'!$G$7:$G$12,B17))))),MAX(0,((S16*($G16-$F16)+N('1 Setup'!$F$12)*$F16)/$G16)+('1 Setup'!$H$12*'1 Setup'!$C$12*0.00000024*$H17))))</f>
        <v/>
      </c>
      <c r="T17" s="18" t="str">
        <f aca="false">IF(OR($B17="",T16="",'1 Setup'!$C$13=""),"",IF(AND($C17="Continuous",N(INDEX('2 Phases'!$G$7:$G$12,B17))&gt;0),IF('1 Setup'!$G$13="","",MAX(0,('1 Setup'!$G$13+('1 Setup'!$H$13*'1 Setup'!$C$13*0.00000024*$H17)/N(INDEX('2 Phases'!$G$7:$G$12,B17)))+(((T16*($G16-$F16)+N('1 Setup'!$F$13)*$F16)/$G16)-('1 Setup'!$G$13+('1 Setup'!$H$13*'1 Setup'!$C$13*0.00000024*$H17)/N(INDEX('2 Phases'!$G$7:$G$12,B17))))*EXP(-N(INDEX('2 Phases'!$G$7:$G$12,B17))))),MAX(0,((T16*($G16-$F16)+N('1 Setup'!$F$13)*$F16)/$G16)+('1 Setup'!$H$13*'1 Setup'!$C$13*0.00000024*$H17))))</f>
        <v/>
      </c>
      <c r="U17" s="18" t="str">
        <f aca="false">IF(OR($B17="",U16="",'1 Setup'!$C$14=""),"",IF(AND($C17="Continuous",N(INDEX('2 Phases'!$G$7:$G$12,B17))&gt;0),IF('1 Setup'!$G$14="","",MAX(0,('1 Setup'!$G$14+('1 Setup'!$H$14*'1 Setup'!$C$14*0.00000024*$H17)/N(INDEX('2 Phases'!$G$7:$G$12,B17)))+(((U16*($G16-$F16)+N('1 Setup'!$F$14)*$F16)/$G16)-('1 Setup'!$G$14+('1 Setup'!$H$14*'1 Setup'!$C$14*0.00000024*$H17)/N(INDEX('2 Phases'!$G$7:$G$12,B17))))*EXP(-N(INDEX('2 Phases'!$G$7:$G$12,B17))))),MAX(0,((U16*($G16-$F16)+N('1 Setup'!$F$14)*$F16)/$G16)+('1 Setup'!$H$14*'1 Setup'!$C$14*0.00000024*$H17))))</f>
        <v/>
      </c>
      <c r="V17" s="18" t="n">
        <f aca="false">IF($B17="","",E17/1000000*'1 Setup'!$B$7)</f>
        <v>14</v>
      </c>
      <c r="W17" s="18" t="n">
        <f aca="false">IF($B17="","",V17*G17)</f>
        <v>14.84</v>
      </c>
      <c r="X17" s="18" t="n">
        <f aca="false">IF($B17="","",P17*'1 Setup'!$B$7/1000000000)</f>
        <v>56.2520688715957</v>
      </c>
      <c r="Y17" s="18" t="n">
        <f aca="false">IF($B17="","",L17*'1 Setup'!$B$7/1000000000)</f>
        <v>8.03600983879939</v>
      </c>
    </row>
    <row r="18" customFormat="false" ht="15" hidden="false" customHeight="false" outlineLevel="0" collapsed="false">
      <c r="A18" s="7" t="n">
        <v>12</v>
      </c>
      <c r="B18" s="7" t="n">
        <f aca="false">IF(A18&gt;'2 Phases'!$D$4,"",IF(A18=0,1,COUNTIF('2 Phases'!$M$7:$M$12,"&lt;"&amp;A18)+1))</f>
        <v>3</v>
      </c>
      <c r="C18" s="7" t="str">
        <f aca="false">IF($B18="","",INDEX('2 Phases'!$C$7:$C$12,B18))</f>
        <v>Continuous</v>
      </c>
      <c r="D18" s="7" t="n">
        <f aca="false">IF($B18="","",A18-INDEX('2 Phases'!$L$7:$L$12,B18))</f>
        <v>8</v>
      </c>
      <c r="E18" s="14" t="n">
        <f aca="false">IF($B18="","",IFERROR(IF(C18="Continuous",INDEX('2 Phases'!$N$7:$N$12,B18)*EXP((INDEX('2 Phases'!$P$7:$P$12,B18)-N(INDEX('2 Phases'!$H$7:$H$12,B18)))*D18),INDEX('2 Phases'!$N$7:$N$12,B18)*(IF(INDEX('2 Phases'!$E$7:$E$12,B18)="",INDEX('2 Phases'!$N$7:$N$12,B18),INDEX('2 Phases'!$E$7:$E$12,B18))/INDEX('2 Phases'!$N$7:$N$12,B18))^(D18/INDEX('2 Phases'!$D$7:$D$12,B18))),""))</f>
        <v>7000000</v>
      </c>
      <c r="F18" s="15" t="n">
        <f aca="false">IF(OR($B18="",C18&lt;&gt;"Fed-batch",D18=0),0,IFERROR(N(INDEX('3 Feed regimes'!$B$6:$E$35,D18,MATCH(INDEX('2 Phases'!$F$7:$F$12,B18),'3 Feed regimes'!$B$4:$E$4,0)))*'1 Setup'!$B$5/100,0))</f>
        <v>0</v>
      </c>
      <c r="G18" s="15" t="n">
        <f aca="false">IF($B18="","",G17+F18)</f>
        <v>1.06</v>
      </c>
      <c r="H18" s="14" t="n">
        <f aca="false">IF($B18="","",(E17+E18)/2)</f>
        <v>7000000</v>
      </c>
      <c r="I18" s="15" t="n">
        <f aca="false">IF($B18="","",IF(C18="Continuous",N(INDEX('2 Phases'!$G$7:$G$12,B18))*G17,0))</f>
        <v>0.765744</v>
      </c>
      <c r="J18" s="15" t="n">
        <f aca="false">IF($B18="","",IF(C18="Continuous",N(INDEX('2 Phases'!$H$7:$H$12,B18))*G17,0))</f>
        <v>0.574000702771385</v>
      </c>
      <c r="K18" s="15" t="n">
        <f aca="false">IF($B18="","",I18-J18)</f>
        <v>0.191743297228615</v>
      </c>
      <c r="L18" s="14" t="n">
        <f aca="false">IF($B18="","",J18*1000*H18)</f>
        <v>4018004919.3997</v>
      </c>
      <c r="M18" s="15" t="n">
        <f aca="false">IF($B18="","",M17+F18+I18)</f>
        <v>7.185952</v>
      </c>
      <c r="N18" s="15" t="n">
        <f aca="false">IF($B18="","",N17+K18)</f>
        <v>1.53394637782892</v>
      </c>
      <c r="O18" s="15" t="n">
        <f aca="false">IF($B18="","",O17+J18)</f>
        <v>4.59200562217108</v>
      </c>
      <c r="P18" s="14" t="n">
        <f aca="false">IF($B18="","",P17+L18)</f>
        <v>32144039355.1976</v>
      </c>
      <c r="Q18" s="18" t="n">
        <f aca="false">IF(OR($B18="",Q17="",'1 Setup'!$C$10=""),"",IF(AND($C18="Continuous",N(INDEX('2 Phases'!$G$7:$G$12,B18))&gt;0),IF('1 Setup'!$G$10="","",MAX(0,('1 Setup'!$G$10+('1 Setup'!$H$10*'1 Setup'!$C$10*0.00000024*$H18)/N(INDEX('2 Phases'!$G$7:$G$12,B18)))+(((Q17*($G17-$F17)+N('1 Setup'!$F$10)*$F17)/$G17)-('1 Setup'!$G$10+('1 Setup'!$H$10*'1 Setup'!$C$10*0.00000024*$H18)/N(INDEX('2 Phases'!$G$7:$G$12,B18))))*EXP(-N(INDEX('2 Phases'!$G$7:$G$12,B18))))),MAX(0,((Q17*($G17-$F17)+N('1 Setup'!$F$10)*$F17)/$G17)+('1 Setup'!$H$10*'1 Setup'!$C$10*0.00000024*$H18))))</f>
        <v>6.65834733581753</v>
      </c>
      <c r="R18" s="18" t="n">
        <f aca="false">IF(OR($B18="",R17="",'1 Setup'!$C$11=""),"",IF(AND($C18="Continuous",N(INDEX('2 Phases'!$G$7:$G$12,B18))&gt;0),IF('1 Setup'!$G$11="","",MAX(0,('1 Setup'!$G$11+('1 Setup'!$H$11*'1 Setup'!$C$11*0.00000024*$H18)/N(INDEX('2 Phases'!$G$7:$G$12,B18)))+(((R17*($G17-$F17)+N('1 Setup'!$F$11)*$F17)/$G17)-('1 Setup'!$G$11+('1 Setup'!$H$11*'1 Setup'!$C$11*0.00000024*$H18)/N(INDEX('2 Phases'!$G$7:$G$12,B18))))*EXP(-N(INDEX('2 Phases'!$G$7:$G$12,B18))))),MAX(0,((R17*($G17-$F17)+N('1 Setup'!$F$11)*$F17)/$G17)+('1 Setup'!$H$11*'1 Setup'!$C$11*0.00000024*$H18))))</f>
        <v>20.009719672827</v>
      </c>
      <c r="S18" s="18" t="str">
        <f aca="false">IF(OR($B18="",S17="",'1 Setup'!$C$12=""),"",IF(AND($C18="Continuous",N(INDEX('2 Phases'!$G$7:$G$12,B18))&gt;0),IF('1 Setup'!$G$12="","",MAX(0,('1 Setup'!$G$12+('1 Setup'!$H$12*'1 Setup'!$C$12*0.00000024*$H18)/N(INDEX('2 Phases'!$G$7:$G$12,B18)))+(((S17*($G17-$F17)+N('1 Setup'!$F$12)*$F17)/$G17)-('1 Setup'!$G$12+('1 Setup'!$H$12*'1 Setup'!$C$12*0.00000024*$H18)/N(INDEX('2 Phases'!$G$7:$G$12,B18))))*EXP(-N(INDEX('2 Phases'!$G$7:$G$12,B18))))),MAX(0,((S17*($G17-$F17)+N('1 Setup'!$F$12)*$F17)/$G17)+('1 Setup'!$H$12*'1 Setup'!$C$12*0.00000024*$H18))))</f>
        <v/>
      </c>
      <c r="T18" s="18" t="str">
        <f aca="false">IF(OR($B18="",T17="",'1 Setup'!$C$13=""),"",IF(AND($C18="Continuous",N(INDEX('2 Phases'!$G$7:$G$12,B18))&gt;0),IF('1 Setup'!$G$13="","",MAX(0,('1 Setup'!$G$13+('1 Setup'!$H$13*'1 Setup'!$C$13*0.00000024*$H18)/N(INDEX('2 Phases'!$G$7:$G$12,B18)))+(((T17*($G17-$F17)+N('1 Setup'!$F$13)*$F17)/$G17)-('1 Setup'!$G$13+('1 Setup'!$H$13*'1 Setup'!$C$13*0.00000024*$H18)/N(INDEX('2 Phases'!$G$7:$G$12,B18))))*EXP(-N(INDEX('2 Phases'!$G$7:$G$12,B18))))),MAX(0,((T17*($G17-$F17)+N('1 Setup'!$F$13)*$F17)/$G17)+('1 Setup'!$H$13*'1 Setup'!$C$13*0.00000024*$H18))))</f>
        <v/>
      </c>
      <c r="U18" s="18" t="str">
        <f aca="false">IF(OR($B18="",U17="",'1 Setup'!$C$14=""),"",IF(AND($C18="Continuous",N(INDEX('2 Phases'!$G$7:$G$12,B18))&gt;0),IF('1 Setup'!$G$14="","",MAX(0,('1 Setup'!$G$14+('1 Setup'!$H$14*'1 Setup'!$C$14*0.00000024*$H18)/N(INDEX('2 Phases'!$G$7:$G$12,B18)))+(((U17*($G17-$F17)+N('1 Setup'!$F$14)*$F17)/$G17)-('1 Setup'!$G$14+('1 Setup'!$H$14*'1 Setup'!$C$14*0.00000024*$H18)/N(INDEX('2 Phases'!$G$7:$G$12,B18))))*EXP(-N(INDEX('2 Phases'!$G$7:$G$12,B18))))),MAX(0,((U17*($G17-$F17)+N('1 Setup'!$F$14)*$F17)/$G17)+('1 Setup'!$H$14*'1 Setup'!$C$14*0.00000024*$H18))))</f>
        <v/>
      </c>
      <c r="V18" s="18" t="n">
        <f aca="false">IF($B18="","",E18/1000000*'1 Setup'!$B$7)</f>
        <v>14</v>
      </c>
      <c r="W18" s="18" t="n">
        <f aca="false">IF($B18="","",V18*G18)</f>
        <v>14.84</v>
      </c>
      <c r="X18" s="18" t="n">
        <f aca="false">IF($B18="","",P18*'1 Setup'!$B$7/1000000000)</f>
        <v>64.2880787103951</v>
      </c>
      <c r="Y18" s="18" t="n">
        <f aca="false">IF($B18="","",L18*'1 Setup'!$B$7/1000000000)</f>
        <v>8.03600983879939</v>
      </c>
    </row>
    <row r="19" customFormat="false" ht="15" hidden="false" customHeight="false" outlineLevel="0" collapsed="false">
      <c r="A19" s="7" t="n">
        <v>13</v>
      </c>
      <c r="B19" s="7" t="n">
        <f aca="false">IF(A19&gt;'2 Phases'!$D$4,"",IF(A19=0,1,COUNTIF('2 Phases'!$M$7:$M$12,"&lt;"&amp;A19)+1))</f>
        <v>3</v>
      </c>
      <c r="C19" s="7" t="str">
        <f aca="false">IF($B19="","",INDEX('2 Phases'!$C$7:$C$12,B19))</f>
        <v>Continuous</v>
      </c>
      <c r="D19" s="7" t="n">
        <f aca="false">IF($B19="","",A19-INDEX('2 Phases'!$L$7:$L$12,B19))</f>
        <v>9</v>
      </c>
      <c r="E19" s="14" t="n">
        <f aca="false">IF($B19="","",IFERROR(IF(C19="Continuous",INDEX('2 Phases'!$N$7:$N$12,B19)*EXP((INDEX('2 Phases'!$P$7:$P$12,B19)-N(INDEX('2 Phases'!$H$7:$H$12,B19)))*D19),INDEX('2 Phases'!$N$7:$N$12,B19)*(IF(INDEX('2 Phases'!$E$7:$E$12,B19)="",INDEX('2 Phases'!$N$7:$N$12,B19),INDEX('2 Phases'!$E$7:$E$12,B19))/INDEX('2 Phases'!$N$7:$N$12,B19))^(D19/INDEX('2 Phases'!$D$7:$D$12,B19))),""))</f>
        <v>7000000</v>
      </c>
      <c r="F19" s="15" t="n">
        <f aca="false">IF(OR($B19="",C19&lt;&gt;"Fed-batch",D19=0),0,IFERROR(N(INDEX('3 Feed regimes'!$B$6:$E$35,D19,MATCH(INDEX('2 Phases'!$F$7:$F$12,B19),'3 Feed regimes'!$B$4:$E$4,0)))*'1 Setup'!$B$5/100,0))</f>
        <v>0</v>
      </c>
      <c r="G19" s="15" t="n">
        <f aca="false">IF($B19="","",G18+F19)</f>
        <v>1.06</v>
      </c>
      <c r="H19" s="14" t="n">
        <f aca="false">IF($B19="","",(E18+E19)/2)</f>
        <v>7000000</v>
      </c>
      <c r="I19" s="15" t="n">
        <f aca="false">IF($B19="","",IF(C19="Continuous",N(INDEX('2 Phases'!$G$7:$G$12,B19))*G18,0))</f>
        <v>0.765744</v>
      </c>
      <c r="J19" s="15" t="n">
        <f aca="false">IF($B19="","",IF(C19="Continuous",N(INDEX('2 Phases'!$H$7:$H$12,B19))*G18,0))</f>
        <v>0.574000702771385</v>
      </c>
      <c r="K19" s="15" t="n">
        <f aca="false">IF($B19="","",I19-J19)</f>
        <v>0.191743297228615</v>
      </c>
      <c r="L19" s="14" t="n">
        <f aca="false">IF($B19="","",J19*1000*H19)</f>
        <v>4018004919.3997</v>
      </c>
      <c r="M19" s="15" t="n">
        <f aca="false">IF($B19="","",M18+F19+I19)</f>
        <v>7.951696</v>
      </c>
      <c r="N19" s="15" t="n">
        <f aca="false">IF($B19="","",N18+K19)</f>
        <v>1.72568967505753</v>
      </c>
      <c r="O19" s="15" t="n">
        <f aca="false">IF($B19="","",O18+J19)</f>
        <v>5.16600632494247</v>
      </c>
      <c r="P19" s="14" t="n">
        <f aca="false">IF($B19="","",P18+L19)</f>
        <v>36162044274.5973</v>
      </c>
      <c r="Q19" s="18" t="n">
        <f aca="false">IF(OR($B19="",Q18="",'1 Setup'!$C$10=""),"",IF(AND($C19="Continuous",N(INDEX('2 Phases'!$G$7:$G$12,B19))&gt;0),IF('1 Setup'!$G$10="","",MAX(0,('1 Setup'!$G$10+('1 Setup'!$H$10*'1 Setup'!$C$10*0.00000024*$H19)/N(INDEX('2 Phases'!$G$7:$G$12,B19)))+(((Q18*($G18-$F18)+N('1 Setup'!$F$10)*$F18)/$G18)-('1 Setup'!$G$10+('1 Setup'!$H$10*'1 Setup'!$C$10*0.00000024*$H19)/N(INDEX('2 Phases'!$G$7:$G$12,B19))))*EXP(-N(INDEX('2 Phases'!$G$7:$G$12,B19))))),MAX(0,((Q18*($G18-$F18)+N('1 Setup'!$F$10)*$F18)/$G18)+('1 Setup'!$H$10*'1 Setup'!$C$10*0.00000024*$H19))))</f>
        <v>6.64268837224168</v>
      </c>
      <c r="R19" s="18" t="n">
        <f aca="false">IF(OR($B19="",R18="",'1 Setup'!$C$11=""),"",IF(AND($C19="Continuous",N(INDEX('2 Phases'!$G$7:$G$12,B19))&gt;0),IF('1 Setup'!$G$11="","",MAX(0,('1 Setup'!$G$11+('1 Setup'!$H$11*'1 Setup'!$C$11*0.00000024*$H19)/N(INDEX('2 Phases'!$G$7:$G$12,B19)))+(((R18*($G18-$F18)+N('1 Setup'!$F$11)*$F18)/$G18)-('1 Setup'!$G$11+('1 Setup'!$H$11*'1 Setup'!$C$11*0.00000024*$H19)/N(INDEX('2 Phases'!$G$7:$G$12,B19))))*EXP(-N(INDEX('2 Phases'!$G$7:$G$12,B19))))),MAX(0,((R18*($G18-$F18)+N('1 Setup'!$F$11)*$F18)/$G18)+('1 Setup'!$H$11*'1 Setup'!$C$11*0.00000024*$H19))))</f>
        <v>20.0047197317159</v>
      </c>
      <c r="S19" s="18" t="str">
        <f aca="false">IF(OR($B19="",S18="",'1 Setup'!$C$12=""),"",IF(AND($C19="Continuous",N(INDEX('2 Phases'!$G$7:$G$12,B19))&gt;0),IF('1 Setup'!$G$12="","",MAX(0,('1 Setup'!$G$12+('1 Setup'!$H$12*'1 Setup'!$C$12*0.00000024*$H19)/N(INDEX('2 Phases'!$G$7:$G$12,B19)))+(((S18*($G18-$F18)+N('1 Setup'!$F$12)*$F18)/$G18)-('1 Setup'!$G$12+('1 Setup'!$H$12*'1 Setup'!$C$12*0.00000024*$H19)/N(INDEX('2 Phases'!$G$7:$G$12,B19))))*EXP(-N(INDEX('2 Phases'!$G$7:$G$12,B19))))),MAX(0,((S18*($G18-$F18)+N('1 Setup'!$F$12)*$F18)/$G18)+('1 Setup'!$H$12*'1 Setup'!$C$12*0.00000024*$H19))))</f>
        <v/>
      </c>
      <c r="T19" s="18" t="str">
        <f aca="false">IF(OR($B19="",T18="",'1 Setup'!$C$13=""),"",IF(AND($C19="Continuous",N(INDEX('2 Phases'!$G$7:$G$12,B19))&gt;0),IF('1 Setup'!$G$13="","",MAX(0,('1 Setup'!$G$13+('1 Setup'!$H$13*'1 Setup'!$C$13*0.00000024*$H19)/N(INDEX('2 Phases'!$G$7:$G$12,B19)))+(((T18*($G18-$F18)+N('1 Setup'!$F$13)*$F18)/$G18)-('1 Setup'!$G$13+('1 Setup'!$H$13*'1 Setup'!$C$13*0.00000024*$H19)/N(INDEX('2 Phases'!$G$7:$G$12,B19))))*EXP(-N(INDEX('2 Phases'!$G$7:$G$12,B19))))),MAX(0,((T18*($G18-$F18)+N('1 Setup'!$F$13)*$F18)/$G18)+('1 Setup'!$H$13*'1 Setup'!$C$13*0.00000024*$H19))))</f>
        <v/>
      </c>
      <c r="U19" s="18" t="str">
        <f aca="false">IF(OR($B19="",U18="",'1 Setup'!$C$14=""),"",IF(AND($C19="Continuous",N(INDEX('2 Phases'!$G$7:$G$12,B19))&gt;0),IF('1 Setup'!$G$14="","",MAX(0,('1 Setup'!$G$14+('1 Setup'!$H$14*'1 Setup'!$C$14*0.00000024*$H19)/N(INDEX('2 Phases'!$G$7:$G$12,B19)))+(((U18*($G18-$F18)+N('1 Setup'!$F$14)*$F18)/$G18)-('1 Setup'!$G$14+('1 Setup'!$H$14*'1 Setup'!$C$14*0.00000024*$H19)/N(INDEX('2 Phases'!$G$7:$G$12,B19))))*EXP(-N(INDEX('2 Phases'!$G$7:$G$12,B19))))),MAX(0,((U18*($G18-$F18)+N('1 Setup'!$F$14)*$F18)/$G18)+('1 Setup'!$H$14*'1 Setup'!$C$14*0.00000024*$H19))))</f>
        <v/>
      </c>
      <c r="V19" s="18" t="n">
        <f aca="false">IF($B19="","",E19/1000000*'1 Setup'!$B$7)</f>
        <v>14</v>
      </c>
      <c r="W19" s="18" t="n">
        <f aca="false">IF($B19="","",V19*G19)</f>
        <v>14.84</v>
      </c>
      <c r="X19" s="18" t="n">
        <f aca="false">IF($B19="","",P19*'1 Setup'!$B$7/1000000000)</f>
        <v>72.3240885491945</v>
      </c>
      <c r="Y19" s="18" t="n">
        <f aca="false">IF($B19="","",L19*'1 Setup'!$B$7/1000000000)</f>
        <v>8.03600983879939</v>
      </c>
    </row>
    <row r="20" customFormat="false" ht="15" hidden="false" customHeight="false" outlineLevel="0" collapsed="false">
      <c r="A20" s="7" t="n">
        <v>14</v>
      </c>
      <c r="B20" s="7" t="n">
        <f aca="false">IF(A20&gt;'2 Phases'!$D$4,"",IF(A20=0,1,COUNTIF('2 Phases'!$M$7:$M$12,"&lt;"&amp;A20)+1))</f>
        <v>3</v>
      </c>
      <c r="C20" s="7" t="str">
        <f aca="false">IF($B20="","",INDEX('2 Phases'!$C$7:$C$12,B20))</f>
        <v>Continuous</v>
      </c>
      <c r="D20" s="7" t="n">
        <f aca="false">IF($B20="","",A20-INDEX('2 Phases'!$L$7:$L$12,B20))</f>
        <v>10</v>
      </c>
      <c r="E20" s="14" t="n">
        <f aca="false">IF($B20="","",IFERROR(IF(C20="Continuous",INDEX('2 Phases'!$N$7:$N$12,B20)*EXP((INDEX('2 Phases'!$P$7:$P$12,B20)-N(INDEX('2 Phases'!$H$7:$H$12,B20)))*D20),INDEX('2 Phases'!$N$7:$N$12,B20)*(IF(INDEX('2 Phases'!$E$7:$E$12,B20)="",INDEX('2 Phases'!$N$7:$N$12,B20),INDEX('2 Phases'!$E$7:$E$12,B20))/INDEX('2 Phases'!$N$7:$N$12,B20))^(D20/INDEX('2 Phases'!$D$7:$D$12,B20))),""))</f>
        <v>7000000</v>
      </c>
      <c r="F20" s="15" t="n">
        <f aca="false">IF(OR($B20="",C20&lt;&gt;"Fed-batch",D20=0),0,IFERROR(N(INDEX('3 Feed regimes'!$B$6:$E$35,D20,MATCH(INDEX('2 Phases'!$F$7:$F$12,B20),'3 Feed regimes'!$B$4:$E$4,0)))*'1 Setup'!$B$5/100,0))</f>
        <v>0</v>
      </c>
      <c r="G20" s="15" t="n">
        <f aca="false">IF($B20="","",G19+F20)</f>
        <v>1.06</v>
      </c>
      <c r="H20" s="14" t="n">
        <f aca="false">IF($B20="","",(E19+E20)/2)</f>
        <v>7000000</v>
      </c>
      <c r="I20" s="15" t="n">
        <f aca="false">IF($B20="","",IF(C20="Continuous",N(INDEX('2 Phases'!$G$7:$G$12,B20))*G19,0))</f>
        <v>0.765744</v>
      </c>
      <c r="J20" s="15" t="n">
        <f aca="false">IF($B20="","",IF(C20="Continuous",N(INDEX('2 Phases'!$H$7:$H$12,B20))*G19,0))</f>
        <v>0.574000702771385</v>
      </c>
      <c r="K20" s="15" t="n">
        <f aca="false">IF($B20="","",I20-J20)</f>
        <v>0.191743297228615</v>
      </c>
      <c r="L20" s="14" t="n">
        <f aca="false">IF($B20="","",J20*1000*H20)</f>
        <v>4018004919.3997</v>
      </c>
      <c r="M20" s="15" t="n">
        <f aca="false">IF($B20="","",M19+F20+I20)</f>
        <v>8.71744</v>
      </c>
      <c r="N20" s="15" t="n">
        <f aca="false">IF($B20="","",N19+K20)</f>
        <v>1.91743297228615</v>
      </c>
      <c r="O20" s="15" t="n">
        <f aca="false">IF($B20="","",O19+J20)</f>
        <v>5.74000702771385</v>
      </c>
      <c r="P20" s="14" t="n">
        <f aca="false">IF($B20="","",P19+L20)</f>
        <v>40180049193.997</v>
      </c>
      <c r="Q20" s="18" t="n">
        <f aca="false">IF(OR($B20="",Q19="",'1 Setup'!$C$10=""),"",IF(AND($C20="Continuous",N(INDEX('2 Phases'!$G$7:$G$12,B20))&gt;0),IF('1 Setup'!$G$10="","",MAX(0,('1 Setup'!$G$10+('1 Setup'!$H$10*'1 Setup'!$C$10*0.00000024*$H20)/N(INDEX('2 Phases'!$G$7:$G$12,B20)))+(((Q19*($G19-$F19)+N('1 Setup'!$F$10)*$F19)/$G19)-('1 Setup'!$G$10+('1 Setup'!$H$10*'1 Setup'!$C$10*0.00000024*$H20)/N(INDEX('2 Phases'!$G$7:$G$12,B20))))*EXP(-N(INDEX('2 Phases'!$G$7:$G$12,B20))))),MAX(0,((Q19*($G19-$F19)+N('1 Setup'!$F$10)*$F19)/$G19)+('1 Setup'!$H$10*'1 Setup'!$C$10*0.00000024*$H20))))</f>
        <v>6.63508460734725</v>
      </c>
      <c r="R20" s="18" t="n">
        <f aca="false">IF(OR($B20="",R19="",'1 Setup'!$C$11=""),"",IF(AND($C20="Continuous",N(INDEX('2 Phases'!$G$7:$G$12,B20))&gt;0),IF('1 Setup'!$G$11="","",MAX(0,('1 Setup'!$G$11+('1 Setup'!$H$11*'1 Setup'!$C$11*0.00000024*$H20)/N(INDEX('2 Phases'!$G$7:$G$12,B20)))+(((R19*($G19-$F19)+N('1 Setup'!$F$11)*$F19)/$G19)-('1 Setup'!$G$11+('1 Setup'!$H$11*'1 Setup'!$C$11*0.00000024*$H20)/N(INDEX('2 Phases'!$G$7:$G$12,B20))))*EXP(-N(INDEX('2 Phases'!$G$7:$G$12,B20))))),MAX(0,((R19*($G19-$F19)+N('1 Setup'!$F$11)*$F19)/$G19)+('1 Setup'!$H$11*'1 Setup'!$C$11*0.00000024*$H20))))</f>
        <v>20.0022918330551</v>
      </c>
      <c r="S20" s="18" t="str">
        <f aca="false">IF(OR($B20="",S19="",'1 Setup'!$C$12=""),"",IF(AND($C20="Continuous",N(INDEX('2 Phases'!$G$7:$G$12,B20))&gt;0),IF('1 Setup'!$G$12="","",MAX(0,('1 Setup'!$G$12+('1 Setup'!$H$12*'1 Setup'!$C$12*0.00000024*$H20)/N(INDEX('2 Phases'!$G$7:$G$12,B20)))+(((S19*($G19-$F19)+N('1 Setup'!$F$12)*$F19)/$G19)-('1 Setup'!$G$12+('1 Setup'!$H$12*'1 Setup'!$C$12*0.00000024*$H20)/N(INDEX('2 Phases'!$G$7:$G$12,B20))))*EXP(-N(INDEX('2 Phases'!$G$7:$G$12,B20))))),MAX(0,((S19*($G19-$F19)+N('1 Setup'!$F$12)*$F19)/$G19)+('1 Setup'!$H$12*'1 Setup'!$C$12*0.00000024*$H20))))</f>
        <v/>
      </c>
      <c r="T20" s="18" t="str">
        <f aca="false">IF(OR($B20="",T19="",'1 Setup'!$C$13=""),"",IF(AND($C20="Continuous",N(INDEX('2 Phases'!$G$7:$G$12,B20))&gt;0),IF('1 Setup'!$G$13="","",MAX(0,('1 Setup'!$G$13+('1 Setup'!$H$13*'1 Setup'!$C$13*0.00000024*$H20)/N(INDEX('2 Phases'!$G$7:$G$12,B20)))+(((T19*($G19-$F19)+N('1 Setup'!$F$13)*$F19)/$G19)-('1 Setup'!$G$13+('1 Setup'!$H$13*'1 Setup'!$C$13*0.00000024*$H20)/N(INDEX('2 Phases'!$G$7:$G$12,B20))))*EXP(-N(INDEX('2 Phases'!$G$7:$G$12,B20))))),MAX(0,((T19*($G19-$F19)+N('1 Setup'!$F$13)*$F19)/$G19)+('1 Setup'!$H$13*'1 Setup'!$C$13*0.00000024*$H20))))</f>
        <v/>
      </c>
      <c r="U20" s="18" t="str">
        <f aca="false">IF(OR($B20="",U19="",'1 Setup'!$C$14=""),"",IF(AND($C20="Continuous",N(INDEX('2 Phases'!$G$7:$G$12,B20))&gt;0),IF('1 Setup'!$G$14="","",MAX(0,('1 Setup'!$G$14+('1 Setup'!$H$14*'1 Setup'!$C$14*0.00000024*$H20)/N(INDEX('2 Phases'!$G$7:$G$12,B20)))+(((U19*($G19-$F19)+N('1 Setup'!$F$14)*$F19)/$G19)-('1 Setup'!$G$14+('1 Setup'!$H$14*'1 Setup'!$C$14*0.00000024*$H20)/N(INDEX('2 Phases'!$G$7:$G$12,B20))))*EXP(-N(INDEX('2 Phases'!$G$7:$G$12,B20))))),MAX(0,((U19*($G19-$F19)+N('1 Setup'!$F$14)*$F19)/$G19)+('1 Setup'!$H$14*'1 Setup'!$C$14*0.00000024*$H20))))</f>
        <v/>
      </c>
      <c r="V20" s="18" t="n">
        <f aca="false">IF($B20="","",E20/1000000*'1 Setup'!$B$7)</f>
        <v>14</v>
      </c>
      <c r="W20" s="18" t="n">
        <f aca="false">IF($B20="","",V20*G20)</f>
        <v>14.84</v>
      </c>
      <c r="X20" s="18" t="n">
        <f aca="false">IF($B20="","",P20*'1 Setup'!$B$7/1000000000)</f>
        <v>80.3600983879939</v>
      </c>
      <c r="Y20" s="18" t="n">
        <f aca="false">IF($B20="","",L20*'1 Setup'!$B$7/1000000000)</f>
        <v>8.03600983879939</v>
      </c>
    </row>
    <row r="21" customFormat="false" ht="15" hidden="false" customHeight="false" outlineLevel="0" collapsed="false">
      <c r="A21" s="7" t="n">
        <v>15</v>
      </c>
      <c r="B21" s="7" t="str">
        <f aca="false">IF(A21&gt;'2 Phases'!$D$4,"",IF(A21=0,1,COUNTIF('2 Phases'!$M$7:$M$12,"&lt;"&amp;A21)+1))</f>
        <v/>
      </c>
      <c r="C21" s="7" t="str">
        <f aca="false">IF($B21="","",INDEX('2 Phases'!$C$7:$C$12,B21))</f>
        <v/>
      </c>
      <c r="D21" s="7" t="str">
        <f aca="false">IF($B21="","",A21-INDEX('2 Phases'!$L$7:$L$12,B21))</f>
        <v/>
      </c>
      <c r="E21" s="14" t="str">
        <f aca="false">IF($B21="","",IFERROR(IF(C21="Continuous",INDEX('2 Phases'!$N$7:$N$12,B21)*EXP((INDEX('2 Phases'!$P$7:$P$12,B21)-N(INDEX('2 Phases'!$H$7:$H$12,B21)))*D21),INDEX('2 Phases'!$N$7:$N$12,B21)*(IF(INDEX('2 Phases'!$E$7:$E$12,B21)="",INDEX('2 Phases'!$N$7:$N$12,B21),INDEX('2 Phases'!$E$7:$E$12,B21))/INDEX('2 Phases'!$N$7:$N$12,B21))^(D21/INDEX('2 Phases'!$D$7:$D$12,B21))),""))</f>
        <v/>
      </c>
      <c r="F21" s="15" t="n">
        <f aca="false">IF(OR($B21="",C21&lt;&gt;"Fed-batch",D21=0),0,IFERROR(N(INDEX('3 Feed regimes'!$B$6:$E$35,D21,MATCH(INDEX('2 Phases'!$F$7:$F$12,B21),'3 Feed regimes'!$B$4:$E$4,0)))*'1 Setup'!$B$5/100,0))</f>
        <v>0</v>
      </c>
      <c r="G21" s="15" t="str">
        <f aca="false">IF($B21="","",G20+F21)</f>
        <v/>
      </c>
      <c r="H21" s="14" t="str">
        <f aca="false">IF($B21="","",(E20+E21)/2)</f>
        <v/>
      </c>
      <c r="I21" s="15" t="str">
        <f aca="false">IF($B21="","",IF(C21="Continuous",N(INDEX('2 Phases'!$G$7:$G$12,B21))*G20,0))</f>
        <v/>
      </c>
      <c r="J21" s="15" t="str">
        <f aca="false">IF($B21="","",IF(C21="Continuous",N(INDEX('2 Phases'!$H$7:$H$12,B21))*G20,0))</f>
        <v/>
      </c>
      <c r="K21" s="15" t="str">
        <f aca="false">IF($B21="","",I21-J21)</f>
        <v/>
      </c>
      <c r="L21" s="14" t="str">
        <f aca="false">IF($B21="","",J21*1000*H21)</f>
        <v/>
      </c>
      <c r="M21" s="15" t="str">
        <f aca="false">IF($B21="","",M20+F21+I21)</f>
        <v/>
      </c>
      <c r="N21" s="15" t="str">
        <f aca="false">IF($B21="","",N20+K21)</f>
        <v/>
      </c>
      <c r="O21" s="15" t="str">
        <f aca="false">IF($B21="","",O20+J21)</f>
        <v/>
      </c>
      <c r="P21" s="14" t="str">
        <f aca="false">IF($B21="","",P20+L21)</f>
        <v/>
      </c>
      <c r="Q21" s="18" t="str">
        <f aca="false">IF(OR($B21="",Q20="",'1 Setup'!$C$10=""),"",IF(AND($C21="Continuous",N(INDEX('2 Phases'!$G$7:$G$12,B21))&gt;0),IF('1 Setup'!$G$10="","",MAX(0,('1 Setup'!$G$10+('1 Setup'!$H$10*'1 Setup'!$C$10*0.00000024*$H21)/N(INDEX('2 Phases'!$G$7:$G$12,B21)))+(((Q20*($G20-$F20)+N('1 Setup'!$F$10)*$F20)/$G20)-('1 Setup'!$G$10+('1 Setup'!$H$10*'1 Setup'!$C$10*0.00000024*$H21)/N(INDEX('2 Phases'!$G$7:$G$12,B21))))*EXP(-N(INDEX('2 Phases'!$G$7:$G$12,B21))))),MAX(0,((Q20*($G20-$F20)+N('1 Setup'!$F$10)*$F20)/$G20)+('1 Setup'!$H$10*'1 Setup'!$C$10*0.00000024*$H21))))</f>
        <v/>
      </c>
      <c r="R21" s="18" t="str">
        <f aca="false">IF(OR($B21="",R20="",'1 Setup'!$C$11=""),"",IF(AND($C21="Continuous",N(INDEX('2 Phases'!$G$7:$G$12,B21))&gt;0),IF('1 Setup'!$G$11="","",MAX(0,('1 Setup'!$G$11+('1 Setup'!$H$11*'1 Setup'!$C$11*0.00000024*$H21)/N(INDEX('2 Phases'!$G$7:$G$12,B21)))+(((R20*($G20-$F20)+N('1 Setup'!$F$11)*$F20)/$G20)-('1 Setup'!$G$11+('1 Setup'!$H$11*'1 Setup'!$C$11*0.00000024*$H21)/N(INDEX('2 Phases'!$G$7:$G$12,B21))))*EXP(-N(INDEX('2 Phases'!$G$7:$G$12,B21))))),MAX(0,((R20*($G20-$F20)+N('1 Setup'!$F$11)*$F20)/$G20)+('1 Setup'!$H$11*'1 Setup'!$C$11*0.00000024*$H21))))</f>
        <v/>
      </c>
      <c r="S21" s="18" t="str">
        <f aca="false">IF(OR($B21="",S20="",'1 Setup'!$C$12=""),"",IF(AND($C21="Continuous",N(INDEX('2 Phases'!$G$7:$G$12,B21))&gt;0),IF('1 Setup'!$G$12="","",MAX(0,('1 Setup'!$G$12+('1 Setup'!$H$12*'1 Setup'!$C$12*0.00000024*$H21)/N(INDEX('2 Phases'!$G$7:$G$12,B21)))+(((S20*($G20-$F20)+N('1 Setup'!$F$12)*$F20)/$G20)-('1 Setup'!$G$12+('1 Setup'!$H$12*'1 Setup'!$C$12*0.00000024*$H21)/N(INDEX('2 Phases'!$G$7:$G$12,B21))))*EXP(-N(INDEX('2 Phases'!$G$7:$G$12,B21))))),MAX(0,((S20*($G20-$F20)+N('1 Setup'!$F$12)*$F20)/$G20)+('1 Setup'!$H$12*'1 Setup'!$C$12*0.00000024*$H21))))</f>
        <v/>
      </c>
      <c r="T21" s="18" t="str">
        <f aca="false">IF(OR($B21="",T20="",'1 Setup'!$C$13=""),"",IF(AND($C21="Continuous",N(INDEX('2 Phases'!$G$7:$G$12,B21))&gt;0),IF('1 Setup'!$G$13="","",MAX(0,('1 Setup'!$G$13+('1 Setup'!$H$13*'1 Setup'!$C$13*0.00000024*$H21)/N(INDEX('2 Phases'!$G$7:$G$12,B21)))+(((T20*($G20-$F20)+N('1 Setup'!$F$13)*$F20)/$G20)-('1 Setup'!$G$13+('1 Setup'!$H$13*'1 Setup'!$C$13*0.00000024*$H21)/N(INDEX('2 Phases'!$G$7:$G$12,B21))))*EXP(-N(INDEX('2 Phases'!$G$7:$G$12,B21))))),MAX(0,((T20*($G20-$F20)+N('1 Setup'!$F$13)*$F20)/$G20)+('1 Setup'!$H$13*'1 Setup'!$C$13*0.00000024*$H21))))</f>
        <v/>
      </c>
      <c r="U21" s="18" t="str">
        <f aca="false">IF(OR($B21="",U20="",'1 Setup'!$C$14=""),"",IF(AND($C21="Continuous",N(INDEX('2 Phases'!$G$7:$G$12,B21))&gt;0),IF('1 Setup'!$G$14="","",MAX(0,('1 Setup'!$G$14+('1 Setup'!$H$14*'1 Setup'!$C$14*0.00000024*$H21)/N(INDEX('2 Phases'!$G$7:$G$12,B21)))+(((U20*($G20-$F20)+N('1 Setup'!$F$14)*$F20)/$G20)-('1 Setup'!$G$14+('1 Setup'!$H$14*'1 Setup'!$C$14*0.00000024*$H21)/N(INDEX('2 Phases'!$G$7:$G$12,B21))))*EXP(-N(INDEX('2 Phases'!$G$7:$G$12,B21))))),MAX(0,((U20*($G20-$F20)+N('1 Setup'!$F$14)*$F20)/$G20)+('1 Setup'!$H$14*'1 Setup'!$C$14*0.00000024*$H21))))</f>
        <v/>
      </c>
      <c r="V21" s="18" t="str">
        <f aca="false">IF($B21="","",E21/1000000*'1 Setup'!$B$7)</f>
        <v/>
      </c>
      <c r="W21" s="18" t="str">
        <f aca="false">IF($B21="","",V21*G21)</f>
        <v/>
      </c>
      <c r="X21" s="18" t="str">
        <f aca="false">IF($B21="","",P21*'1 Setup'!$B$7/1000000000)</f>
        <v/>
      </c>
      <c r="Y21" s="18" t="str">
        <f aca="false">IF($B21="","",L21*'1 Setup'!$B$7/1000000000)</f>
        <v/>
      </c>
    </row>
    <row r="22" customFormat="false" ht="15" hidden="false" customHeight="false" outlineLevel="0" collapsed="false">
      <c r="A22" s="7" t="n">
        <v>16</v>
      </c>
      <c r="B22" s="7" t="str">
        <f aca="false">IF(A22&gt;'2 Phases'!$D$4,"",IF(A22=0,1,COUNTIF('2 Phases'!$M$7:$M$12,"&lt;"&amp;A22)+1))</f>
        <v/>
      </c>
      <c r="C22" s="7" t="str">
        <f aca="false">IF($B22="","",INDEX('2 Phases'!$C$7:$C$12,B22))</f>
        <v/>
      </c>
      <c r="D22" s="7" t="str">
        <f aca="false">IF($B22="","",A22-INDEX('2 Phases'!$L$7:$L$12,B22))</f>
        <v/>
      </c>
      <c r="E22" s="14" t="str">
        <f aca="false">IF($B22="","",IFERROR(IF(C22="Continuous",INDEX('2 Phases'!$N$7:$N$12,B22)*EXP((INDEX('2 Phases'!$P$7:$P$12,B22)-N(INDEX('2 Phases'!$H$7:$H$12,B22)))*D22),INDEX('2 Phases'!$N$7:$N$12,B22)*(IF(INDEX('2 Phases'!$E$7:$E$12,B22)="",INDEX('2 Phases'!$N$7:$N$12,B22),INDEX('2 Phases'!$E$7:$E$12,B22))/INDEX('2 Phases'!$N$7:$N$12,B22))^(D22/INDEX('2 Phases'!$D$7:$D$12,B22))),""))</f>
        <v/>
      </c>
      <c r="F22" s="15" t="n">
        <f aca="false">IF(OR($B22="",C22&lt;&gt;"Fed-batch",D22=0),0,IFERROR(N(INDEX('3 Feed regimes'!$B$6:$E$35,D22,MATCH(INDEX('2 Phases'!$F$7:$F$12,B22),'3 Feed regimes'!$B$4:$E$4,0)))*'1 Setup'!$B$5/100,0))</f>
        <v>0</v>
      </c>
      <c r="G22" s="15" t="str">
        <f aca="false">IF($B22="","",G21+F22)</f>
        <v/>
      </c>
      <c r="H22" s="14" t="str">
        <f aca="false">IF($B22="","",(E21+E22)/2)</f>
        <v/>
      </c>
      <c r="I22" s="15" t="str">
        <f aca="false">IF($B22="","",IF(C22="Continuous",N(INDEX('2 Phases'!$G$7:$G$12,B22))*G21,0))</f>
        <v/>
      </c>
      <c r="J22" s="15" t="str">
        <f aca="false">IF($B22="","",IF(C22="Continuous",N(INDEX('2 Phases'!$H$7:$H$12,B22))*G21,0))</f>
        <v/>
      </c>
      <c r="K22" s="15" t="str">
        <f aca="false">IF($B22="","",I22-J22)</f>
        <v/>
      </c>
      <c r="L22" s="14" t="str">
        <f aca="false">IF($B22="","",J22*1000*H22)</f>
        <v/>
      </c>
      <c r="M22" s="15" t="str">
        <f aca="false">IF($B22="","",M21+F22+I22)</f>
        <v/>
      </c>
      <c r="N22" s="15" t="str">
        <f aca="false">IF($B22="","",N21+K22)</f>
        <v/>
      </c>
      <c r="O22" s="15" t="str">
        <f aca="false">IF($B22="","",O21+J22)</f>
        <v/>
      </c>
      <c r="P22" s="14" t="str">
        <f aca="false">IF($B22="","",P21+L22)</f>
        <v/>
      </c>
      <c r="Q22" s="18" t="str">
        <f aca="false">IF(OR($B22="",Q21="",'1 Setup'!$C$10=""),"",IF(AND($C22="Continuous",N(INDEX('2 Phases'!$G$7:$G$12,B22))&gt;0),IF('1 Setup'!$G$10="","",MAX(0,('1 Setup'!$G$10+('1 Setup'!$H$10*'1 Setup'!$C$10*0.00000024*$H22)/N(INDEX('2 Phases'!$G$7:$G$12,B22)))+(((Q21*($G21-$F21)+N('1 Setup'!$F$10)*$F21)/$G21)-('1 Setup'!$G$10+('1 Setup'!$H$10*'1 Setup'!$C$10*0.00000024*$H22)/N(INDEX('2 Phases'!$G$7:$G$12,B22))))*EXP(-N(INDEX('2 Phases'!$G$7:$G$12,B22))))),MAX(0,((Q21*($G21-$F21)+N('1 Setup'!$F$10)*$F21)/$G21)+('1 Setup'!$H$10*'1 Setup'!$C$10*0.00000024*$H22))))</f>
        <v/>
      </c>
      <c r="R22" s="18" t="str">
        <f aca="false">IF(OR($B22="",R21="",'1 Setup'!$C$11=""),"",IF(AND($C22="Continuous",N(INDEX('2 Phases'!$G$7:$G$12,B22))&gt;0),IF('1 Setup'!$G$11="","",MAX(0,('1 Setup'!$G$11+('1 Setup'!$H$11*'1 Setup'!$C$11*0.00000024*$H22)/N(INDEX('2 Phases'!$G$7:$G$12,B22)))+(((R21*($G21-$F21)+N('1 Setup'!$F$11)*$F21)/$G21)-('1 Setup'!$G$11+('1 Setup'!$H$11*'1 Setup'!$C$11*0.00000024*$H22)/N(INDEX('2 Phases'!$G$7:$G$12,B22))))*EXP(-N(INDEX('2 Phases'!$G$7:$G$12,B22))))),MAX(0,((R21*($G21-$F21)+N('1 Setup'!$F$11)*$F21)/$G21)+('1 Setup'!$H$11*'1 Setup'!$C$11*0.00000024*$H22))))</f>
        <v/>
      </c>
      <c r="S22" s="18" t="str">
        <f aca="false">IF(OR($B22="",S21="",'1 Setup'!$C$12=""),"",IF(AND($C22="Continuous",N(INDEX('2 Phases'!$G$7:$G$12,B22))&gt;0),IF('1 Setup'!$G$12="","",MAX(0,('1 Setup'!$G$12+('1 Setup'!$H$12*'1 Setup'!$C$12*0.00000024*$H22)/N(INDEX('2 Phases'!$G$7:$G$12,B22)))+(((S21*($G21-$F21)+N('1 Setup'!$F$12)*$F21)/$G21)-('1 Setup'!$G$12+('1 Setup'!$H$12*'1 Setup'!$C$12*0.00000024*$H22)/N(INDEX('2 Phases'!$G$7:$G$12,B22))))*EXP(-N(INDEX('2 Phases'!$G$7:$G$12,B22))))),MAX(0,((S21*($G21-$F21)+N('1 Setup'!$F$12)*$F21)/$G21)+('1 Setup'!$H$12*'1 Setup'!$C$12*0.00000024*$H22))))</f>
        <v/>
      </c>
      <c r="T22" s="18" t="str">
        <f aca="false">IF(OR($B22="",T21="",'1 Setup'!$C$13=""),"",IF(AND($C22="Continuous",N(INDEX('2 Phases'!$G$7:$G$12,B22))&gt;0),IF('1 Setup'!$G$13="","",MAX(0,('1 Setup'!$G$13+('1 Setup'!$H$13*'1 Setup'!$C$13*0.00000024*$H22)/N(INDEX('2 Phases'!$G$7:$G$12,B22)))+(((T21*($G21-$F21)+N('1 Setup'!$F$13)*$F21)/$G21)-('1 Setup'!$G$13+('1 Setup'!$H$13*'1 Setup'!$C$13*0.00000024*$H22)/N(INDEX('2 Phases'!$G$7:$G$12,B22))))*EXP(-N(INDEX('2 Phases'!$G$7:$G$12,B22))))),MAX(0,((T21*($G21-$F21)+N('1 Setup'!$F$13)*$F21)/$G21)+('1 Setup'!$H$13*'1 Setup'!$C$13*0.00000024*$H22))))</f>
        <v/>
      </c>
      <c r="U22" s="18" t="str">
        <f aca="false">IF(OR($B22="",U21="",'1 Setup'!$C$14=""),"",IF(AND($C22="Continuous",N(INDEX('2 Phases'!$G$7:$G$12,B22))&gt;0),IF('1 Setup'!$G$14="","",MAX(0,('1 Setup'!$G$14+('1 Setup'!$H$14*'1 Setup'!$C$14*0.00000024*$H22)/N(INDEX('2 Phases'!$G$7:$G$12,B22)))+(((U21*($G21-$F21)+N('1 Setup'!$F$14)*$F21)/$G21)-('1 Setup'!$G$14+('1 Setup'!$H$14*'1 Setup'!$C$14*0.00000024*$H22)/N(INDEX('2 Phases'!$G$7:$G$12,B22))))*EXP(-N(INDEX('2 Phases'!$G$7:$G$12,B22))))),MAX(0,((U21*($G21-$F21)+N('1 Setup'!$F$14)*$F21)/$G21)+('1 Setup'!$H$14*'1 Setup'!$C$14*0.00000024*$H22))))</f>
        <v/>
      </c>
      <c r="V22" s="18" t="str">
        <f aca="false">IF($B22="","",E22/1000000*'1 Setup'!$B$7)</f>
        <v/>
      </c>
      <c r="W22" s="18" t="str">
        <f aca="false">IF($B22="","",V22*G22)</f>
        <v/>
      </c>
      <c r="X22" s="18" t="str">
        <f aca="false">IF($B22="","",P22*'1 Setup'!$B$7/1000000000)</f>
        <v/>
      </c>
      <c r="Y22" s="18" t="str">
        <f aca="false">IF($B22="","",L22*'1 Setup'!$B$7/1000000000)</f>
        <v/>
      </c>
    </row>
    <row r="23" customFormat="false" ht="15" hidden="false" customHeight="false" outlineLevel="0" collapsed="false">
      <c r="A23" s="7" t="n">
        <v>17</v>
      </c>
      <c r="B23" s="7" t="str">
        <f aca="false">IF(A23&gt;'2 Phases'!$D$4,"",IF(A23=0,1,COUNTIF('2 Phases'!$M$7:$M$12,"&lt;"&amp;A23)+1))</f>
        <v/>
      </c>
      <c r="C23" s="7" t="str">
        <f aca="false">IF($B23="","",INDEX('2 Phases'!$C$7:$C$12,B23))</f>
        <v/>
      </c>
      <c r="D23" s="7" t="str">
        <f aca="false">IF($B23="","",A23-INDEX('2 Phases'!$L$7:$L$12,B23))</f>
        <v/>
      </c>
      <c r="E23" s="14" t="str">
        <f aca="false">IF($B23="","",IFERROR(IF(C23="Continuous",INDEX('2 Phases'!$N$7:$N$12,B23)*EXP((INDEX('2 Phases'!$P$7:$P$12,B23)-N(INDEX('2 Phases'!$H$7:$H$12,B23)))*D23),INDEX('2 Phases'!$N$7:$N$12,B23)*(IF(INDEX('2 Phases'!$E$7:$E$12,B23)="",INDEX('2 Phases'!$N$7:$N$12,B23),INDEX('2 Phases'!$E$7:$E$12,B23))/INDEX('2 Phases'!$N$7:$N$12,B23))^(D23/INDEX('2 Phases'!$D$7:$D$12,B23))),""))</f>
        <v/>
      </c>
      <c r="F23" s="15" t="n">
        <f aca="false">IF(OR($B23="",C23&lt;&gt;"Fed-batch",D23=0),0,IFERROR(N(INDEX('3 Feed regimes'!$B$6:$E$35,D23,MATCH(INDEX('2 Phases'!$F$7:$F$12,B23),'3 Feed regimes'!$B$4:$E$4,0)))*'1 Setup'!$B$5/100,0))</f>
        <v>0</v>
      </c>
      <c r="G23" s="15" t="str">
        <f aca="false">IF($B23="","",G22+F23)</f>
        <v/>
      </c>
      <c r="H23" s="14" t="str">
        <f aca="false">IF($B23="","",(E22+E23)/2)</f>
        <v/>
      </c>
      <c r="I23" s="15" t="str">
        <f aca="false">IF($B23="","",IF(C23="Continuous",N(INDEX('2 Phases'!$G$7:$G$12,B23))*G22,0))</f>
        <v/>
      </c>
      <c r="J23" s="15" t="str">
        <f aca="false">IF($B23="","",IF(C23="Continuous",N(INDEX('2 Phases'!$H$7:$H$12,B23))*G22,0))</f>
        <v/>
      </c>
      <c r="K23" s="15" t="str">
        <f aca="false">IF($B23="","",I23-J23)</f>
        <v/>
      </c>
      <c r="L23" s="14" t="str">
        <f aca="false">IF($B23="","",J23*1000*H23)</f>
        <v/>
      </c>
      <c r="M23" s="15" t="str">
        <f aca="false">IF($B23="","",M22+F23+I23)</f>
        <v/>
      </c>
      <c r="N23" s="15" t="str">
        <f aca="false">IF($B23="","",N22+K23)</f>
        <v/>
      </c>
      <c r="O23" s="15" t="str">
        <f aca="false">IF($B23="","",O22+J23)</f>
        <v/>
      </c>
      <c r="P23" s="14" t="str">
        <f aca="false">IF($B23="","",P22+L23)</f>
        <v/>
      </c>
      <c r="Q23" s="18" t="str">
        <f aca="false">IF(OR($B23="",Q22="",'1 Setup'!$C$10=""),"",IF(AND($C23="Continuous",N(INDEX('2 Phases'!$G$7:$G$12,B23))&gt;0),IF('1 Setup'!$G$10="","",MAX(0,('1 Setup'!$G$10+('1 Setup'!$H$10*'1 Setup'!$C$10*0.00000024*$H23)/N(INDEX('2 Phases'!$G$7:$G$12,B23)))+(((Q22*($G22-$F22)+N('1 Setup'!$F$10)*$F22)/$G22)-('1 Setup'!$G$10+('1 Setup'!$H$10*'1 Setup'!$C$10*0.00000024*$H23)/N(INDEX('2 Phases'!$G$7:$G$12,B23))))*EXP(-N(INDEX('2 Phases'!$G$7:$G$12,B23))))),MAX(0,((Q22*($G22-$F22)+N('1 Setup'!$F$10)*$F22)/$G22)+('1 Setup'!$H$10*'1 Setup'!$C$10*0.00000024*$H23))))</f>
        <v/>
      </c>
      <c r="R23" s="18" t="str">
        <f aca="false">IF(OR($B23="",R22="",'1 Setup'!$C$11=""),"",IF(AND($C23="Continuous",N(INDEX('2 Phases'!$G$7:$G$12,B23))&gt;0),IF('1 Setup'!$G$11="","",MAX(0,('1 Setup'!$G$11+('1 Setup'!$H$11*'1 Setup'!$C$11*0.00000024*$H23)/N(INDEX('2 Phases'!$G$7:$G$12,B23)))+(((R22*($G22-$F22)+N('1 Setup'!$F$11)*$F22)/$G22)-('1 Setup'!$G$11+('1 Setup'!$H$11*'1 Setup'!$C$11*0.00000024*$H23)/N(INDEX('2 Phases'!$G$7:$G$12,B23))))*EXP(-N(INDEX('2 Phases'!$G$7:$G$12,B23))))),MAX(0,((R22*($G22-$F22)+N('1 Setup'!$F$11)*$F22)/$G22)+('1 Setup'!$H$11*'1 Setup'!$C$11*0.00000024*$H23))))</f>
        <v/>
      </c>
      <c r="S23" s="18" t="str">
        <f aca="false">IF(OR($B23="",S22="",'1 Setup'!$C$12=""),"",IF(AND($C23="Continuous",N(INDEX('2 Phases'!$G$7:$G$12,B23))&gt;0),IF('1 Setup'!$G$12="","",MAX(0,('1 Setup'!$G$12+('1 Setup'!$H$12*'1 Setup'!$C$12*0.00000024*$H23)/N(INDEX('2 Phases'!$G$7:$G$12,B23)))+(((S22*($G22-$F22)+N('1 Setup'!$F$12)*$F22)/$G22)-('1 Setup'!$G$12+('1 Setup'!$H$12*'1 Setup'!$C$12*0.00000024*$H23)/N(INDEX('2 Phases'!$G$7:$G$12,B23))))*EXP(-N(INDEX('2 Phases'!$G$7:$G$12,B23))))),MAX(0,((S22*($G22-$F22)+N('1 Setup'!$F$12)*$F22)/$G22)+('1 Setup'!$H$12*'1 Setup'!$C$12*0.00000024*$H23))))</f>
        <v/>
      </c>
      <c r="T23" s="18" t="str">
        <f aca="false">IF(OR($B23="",T22="",'1 Setup'!$C$13=""),"",IF(AND($C23="Continuous",N(INDEX('2 Phases'!$G$7:$G$12,B23))&gt;0),IF('1 Setup'!$G$13="","",MAX(0,('1 Setup'!$G$13+('1 Setup'!$H$13*'1 Setup'!$C$13*0.00000024*$H23)/N(INDEX('2 Phases'!$G$7:$G$12,B23)))+(((T22*($G22-$F22)+N('1 Setup'!$F$13)*$F22)/$G22)-('1 Setup'!$G$13+('1 Setup'!$H$13*'1 Setup'!$C$13*0.00000024*$H23)/N(INDEX('2 Phases'!$G$7:$G$12,B23))))*EXP(-N(INDEX('2 Phases'!$G$7:$G$12,B23))))),MAX(0,((T22*($G22-$F22)+N('1 Setup'!$F$13)*$F22)/$G22)+('1 Setup'!$H$13*'1 Setup'!$C$13*0.00000024*$H23))))</f>
        <v/>
      </c>
      <c r="U23" s="18" t="str">
        <f aca="false">IF(OR($B23="",U22="",'1 Setup'!$C$14=""),"",IF(AND($C23="Continuous",N(INDEX('2 Phases'!$G$7:$G$12,B23))&gt;0),IF('1 Setup'!$G$14="","",MAX(0,('1 Setup'!$G$14+('1 Setup'!$H$14*'1 Setup'!$C$14*0.00000024*$H23)/N(INDEX('2 Phases'!$G$7:$G$12,B23)))+(((U22*($G22-$F22)+N('1 Setup'!$F$14)*$F22)/$G22)-('1 Setup'!$G$14+('1 Setup'!$H$14*'1 Setup'!$C$14*0.00000024*$H23)/N(INDEX('2 Phases'!$G$7:$G$12,B23))))*EXP(-N(INDEX('2 Phases'!$G$7:$G$12,B23))))),MAX(0,((U22*($G22-$F22)+N('1 Setup'!$F$14)*$F22)/$G22)+('1 Setup'!$H$14*'1 Setup'!$C$14*0.00000024*$H23))))</f>
        <v/>
      </c>
      <c r="V23" s="18" t="str">
        <f aca="false">IF($B23="","",E23/1000000*'1 Setup'!$B$7)</f>
        <v/>
      </c>
      <c r="W23" s="18" t="str">
        <f aca="false">IF($B23="","",V23*G23)</f>
        <v/>
      </c>
      <c r="X23" s="18" t="str">
        <f aca="false">IF($B23="","",P23*'1 Setup'!$B$7/1000000000)</f>
        <v/>
      </c>
      <c r="Y23" s="18" t="str">
        <f aca="false">IF($B23="","",L23*'1 Setup'!$B$7/1000000000)</f>
        <v/>
      </c>
    </row>
    <row r="24" customFormat="false" ht="15" hidden="false" customHeight="false" outlineLevel="0" collapsed="false">
      <c r="A24" s="7" t="n">
        <v>18</v>
      </c>
      <c r="B24" s="7" t="str">
        <f aca="false">IF(A24&gt;'2 Phases'!$D$4,"",IF(A24=0,1,COUNTIF('2 Phases'!$M$7:$M$12,"&lt;"&amp;A24)+1))</f>
        <v/>
      </c>
      <c r="C24" s="7" t="str">
        <f aca="false">IF($B24="","",INDEX('2 Phases'!$C$7:$C$12,B24))</f>
        <v/>
      </c>
      <c r="D24" s="7" t="str">
        <f aca="false">IF($B24="","",A24-INDEX('2 Phases'!$L$7:$L$12,B24))</f>
        <v/>
      </c>
      <c r="E24" s="14" t="str">
        <f aca="false">IF($B24="","",IFERROR(IF(C24="Continuous",INDEX('2 Phases'!$N$7:$N$12,B24)*EXP((INDEX('2 Phases'!$P$7:$P$12,B24)-N(INDEX('2 Phases'!$H$7:$H$12,B24)))*D24),INDEX('2 Phases'!$N$7:$N$12,B24)*(IF(INDEX('2 Phases'!$E$7:$E$12,B24)="",INDEX('2 Phases'!$N$7:$N$12,B24),INDEX('2 Phases'!$E$7:$E$12,B24))/INDEX('2 Phases'!$N$7:$N$12,B24))^(D24/INDEX('2 Phases'!$D$7:$D$12,B24))),""))</f>
        <v/>
      </c>
      <c r="F24" s="15" t="n">
        <f aca="false">IF(OR($B24="",C24&lt;&gt;"Fed-batch",D24=0),0,IFERROR(N(INDEX('3 Feed regimes'!$B$6:$E$35,D24,MATCH(INDEX('2 Phases'!$F$7:$F$12,B24),'3 Feed regimes'!$B$4:$E$4,0)))*'1 Setup'!$B$5/100,0))</f>
        <v>0</v>
      </c>
      <c r="G24" s="15" t="str">
        <f aca="false">IF($B24="","",G23+F24)</f>
        <v/>
      </c>
      <c r="H24" s="14" t="str">
        <f aca="false">IF($B24="","",(E23+E24)/2)</f>
        <v/>
      </c>
      <c r="I24" s="15" t="str">
        <f aca="false">IF($B24="","",IF(C24="Continuous",N(INDEX('2 Phases'!$G$7:$G$12,B24))*G23,0))</f>
        <v/>
      </c>
      <c r="J24" s="15" t="str">
        <f aca="false">IF($B24="","",IF(C24="Continuous",N(INDEX('2 Phases'!$H$7:$H$12,B24))*G23,0))</f>
        <v/>
      </c>
      <c r="K24" s="15" t="str">
        <f aca="false">IF($B24="","",I24-J24)</f>
        <v/>
      </c>
      <c r="L24" s="14" t="str">
        <f aca="false">IF($B24="","",J24*1000*H24)</f>
        <v/>
      </c>
      <c r="M24" s="15" t="str">
        <f aca="false">IF($B24="","",M23+F24+I24)</f>
        <v/>
      </c>
      <c r="N24" s="15" t="str">
        <f aca="false">IF($B24="","",N23+K24)</f>
        <v/>
      </c>
      <c r="O24" s="15" t="str">
        <f aca="false">IF($B24="","",O23+J24)</f>
        <v/>
      </c>
      <c r="P24" s="14" t="str">
        <f aca="false">IF($B24="","",P23+L24)</f>
        <v/>
      </c>
      <c r="Q24" s="18" t="str">
        <f aca="false">IF(OR($B24="",Q23="",'1 Setup'!$C$10=""),"",IF(AND($C24="Continuous",N(INDEX('2 Phases'!$G$7:$G$12,B24))&gt;0),IF('1 Setup'!$G$10="","",MAX(0,('1 Setup'!$G$10+('1 Setup'!$H$10*'1 Setup'!$C$10*0.00000024*$H24)/N(INDEX('2 Phases'!$G$7:$G$12,B24)))+(((Q23*($G23-$F23)+N('1 Setup'!$F$10)*$F23)/$G23)-('1 Setup'!$G$10+('1 Setup'!$H$10*'1 Setup'!$C$10*0.00000024*$H24)/N(INDEX('2 Phases'!$G$7:$G$12,B24))))*EXP(-N(INDEX('2 Phases'!$G$7:$G$12,B24))))),MAX(0,((Q23*($G23-$F23)+N('1 Setup'!$F$10)*$F23)/$G23)+('1 Setup'!$H$10*'1 Setup'!$C$10*0.00000024*$H24))))</f>
        <v/>
      </c>
      <c r="R24" s="18" t="str">
        <f aca="false">IF(OR($B24="",R23="",'1 Setup'!$C$11=""),"",IF(AND($C24="Continuous",N(INDEX('2 Phases'!$G$7:$G$12,B24))&gt;0),IF('1 Setup'!$G$11="","",MAX(0,('1 Setup'!$G$11+('1 Setup'!$H$11*'1 Setup'!$C$11*0.00000024*$H24)/N(INDEX('2 Phases'!$G$7:$G$12,B24)))+(((R23*($G23-$F23)+N('1 Setup'!$F$11)*$F23)/$G23)-('1 Setup'!$G$11+('1 Setup'!$H$11*'1 Setup'!$C$11*0.00000024*$H24)/N(INDEX('2 Phases'!$G$7:$G$12,B24))))*EXP(-N(INDEX('2 Phases'!$G$7:$G$12,B24))))),MAX(0,((R23*($G23-$F23)+N('1 Setup'!$F$11)*$F23)/$G23)+('1 Setup'!$H$11*'1 Setup'!$C$11*0.00000024*$H24))))</f>
        <v/>
      </c>
      <c r="S24" s="18" t="str">
        <f aca="false">IF(OR($B24="",S23="",'1 Setup'!$C$12=""),"",IF(AND($C24="Continuous",N(INDEX('2 Phases'!$G$7:$G$12,B24))&gt;0),IF('1 Setup'!$G$12="","",MAX(0,('1 Setup'!$G$12+('1 Setup'!$H$12*'1 Setup'!$C$12*0.00000024*$H24)/N(INDEX('2 Phases'!$G$7:$G$12,B24)))+(((S23*($G23-$F23)+N('1 Setup'!$F$12)*$F23)/$G23)-('1 Setup'!$G$12+('1 Setup'!$H$12*'1 Setup'!$C$12*0.00000024*$H24)/N(INDEX('2 Phases'!$G$7:$G$12,B24))))*EXP(-N(INDEX('2 Phases'!$G$7:$G$12,B24))))),MAX(0,((S23*($G23-$F23)+N('1 Setup'!$F$12)*$F23)/$G23)+('1 Setup'!$H$12*'1 Setup'!$C$12*0.00000024*$H24))))</f>
        <v/>
      </c>
      <c r="T24" s="18" t="str">
        <f aca="false">IF(OR($B24="",T23="",'1 Setup'!$C$13=""),"",IF(AND($C24="Continuous",N(INDEX('2 Phases'!$G$7:$G$12,B24))&gt;0),IF('1 Setup'!$G$13="","",MAX(0,('1 Setup'!$G$13+('1 Setup'!$H$13*'1 Setup'!$C$13*0.00000024*$H24)/N(INDEX('2 Phases'!$G$7:$G$12,B24)))+(((T23*($G23-$F23)+N('1 Setup'!$F$13)*$F23)/$G23)-('1 Setup'!$G$13+('1 Setup'!$H$13*'1 Setup'!$C$13*0.00000024*$H24)/N(INDEX('2 Phases'!$G$7:$G$12,B24))))*EXP(-N(INDEX('2 Phases'!$G$7:$G$12,B24))))),MAX(0,((T23*($G23-$F23)+N('1 Setup'!$F$13)*$F23)/$G23)+('1 Setup'!$H$13*'1 Setup'!$C$13*0.00000024*$H24))))</f>
        <v/>
      </c>
      <c r="U24" s="18" t="str">
        <f aca="false">IF(OR($B24="",U23="",'1 Setup'!$C$14=""),"",IF(AND($C24="Continuous",N(INDEX('2 Phases'!$G$7:$G$12,B24))&gt;0),IF('1 Setup'!$G$14="","",MAX(0,('1 Setup'!$G$14+('1 Setup'!$H$14*'1 Setup'!$C$14*0.00000024*$H24)/N(INDEX('2 Phases'!$G$7:$G$12,B24)))+(((U23*($G23-$F23)+N('1 Setup'!$F$14)*$F23)/$G23)-('1 Setup'!$G$14+('1 Setup'!$H$14*'1 Setup'!$C$14*0.00000024*$H24)/N(INDEX('2 Phases'!$G$7:$G$12,B24))))*EXP(-N(INDEX('2 Phases'!$G$7:$G$12,B24))))),MAX(0,((U23*($G23-$F23)+N('1 Setup'!$F$14)*$F23)/$G23)+('1 Setup'!$H$14*'1 Setup'!$C$14*0.00000024*$H24))))</f>
        <v/>
      </c>
      <c r="V24" s="18" t="str">
        <f aca="false">IF($B24="","",E24/1000000*'1 Setup'!$B$7)</f>
        <v/>
      </c>
      <c r="W24" s="18" t="str">
        <f aca="false">IF($B24="","",V24*G24)</f>
        <v/>
      </c>
      <c r="X24" s="18" t="str">
        <f aca="false">IF($B24="","",P24*'1 Setup'!$B$7/1000000000)</f>
        <v/>
      </c>
      <c r="Y24" s="18" t="str">
        <f aca="false">IF($B24="","",L24*'1 Setup'!$B$7/1000000000)</f>
        <v/>
      </c>
    </row>
    <row r="25" customFormat="false" ht="15" hidden="false" customHeight="false" outlineLevel="0" collapsed="false">
      <c r="A25" s="7" t="n">
        <v>19</v>
      </c>
      <c r="B25" s="7" t="str">
        <f aca="false">IF(A25&gt;'2 Phases'!$D$4,"",IF(A25=0,1,COUNTIF('2 Phases'!$M$7:$M$12,"&lt;"&amp;A25)+1))</f>
        <v/>
      </c>
      <c r="C25" s="7" t="str">
        <f aca="false">IF($B25="","",INDEX('2 Phases'!$C$7:$C$12,B25))</f>
        <v/>
      </c>
      <c r="D25" s="7" t="str">
        <f aca="false">IF($B25="","",A25-INDEX('2 Phases'!$L$7:$L$12,B25))</f>
        <v/>
      </c>
      <c r="E25" s="14" t="str">
        <f aca="false">IF($B25="","",IFERROR(IF(C25="Continuous",INDEX('2 Phases'!$N$7:$N$12,B25)*EXP((INDEX('2 Phases'!$P$7:$P$12,B25)-N(INDEX('2 Phases'!$H$7:$H$12,B25)))*D25),INDEX('2 Phases'!$N$7:$N$12,B25)*(IF(INDEX('2 Phases'!$E$7:$E$12,B25)="",INDEX('2 Phases'!$N$7:$N$12,B25),INDEX('2 Phases'!$E$7:$E$12,B25))/INDEX('2 Phases'!$N$7:$N$12,B25))^(D25/INDEX('2 Phases'!$D$7:$D$12,B25))),""))</f>
        <v/>
      </c>
      <c r="F25" s="15" t="n">
        <f aca="false">IF(OR($B25="",C25&lt;&gt;"Fed-batch",D25=0),0,IFERROR(N(INDEX('3 Feed regimes'!$B$6:$E$35,D25,MATCH(INDEX('2 Phases'!$F$7:$F$12,B25),'3 Feed regimes'!$B$4:$E$4,0)))*'1 Setup'!$B$5/100,0))</f>
        <v>0</v>
      </c>
      <c r="G25" s="15" t="str">
        <f aca="false">IF($B25="","",G24+F25)</f>
        <v/>
      </c>
      <c r="H25" s="14" t="str">
        <f aca="false">IF($B25="","",(E24+E25)/2)</f>
        <v/>
      </c>
      <c r="I25" s="15" t="str">
        <f aca="false">IF($B25="","",IF(C25="Continuous",N(INDEX('2 Phases'!$G$7:$G$12,B25))*G24,0))</f>
        <v/>
      </c>
      <c r="J25" s="15" t="str">
        <f aca="false">IF($B25="","",IF(C25="Continuous",N(INDEX('2 Phases'!$H$7:$H$12,B25))*G24,0))</f>
        <v/>
      </c>
      <c r="K25" s="15" t="str">
        <f aca="false">IF($B25="","",I25-J25)</f>
        <v/>
      </c>
      <c r="L25" s="14" t="str">
        <f aca="false">IF($B25="","",J25*1000*H25)</f>
        <v/>
      </c>
      <c r="M25" s="15" t="str">
        <f aca="false">IF($B25="","",M24+F25+I25)</f>
        <v/>
      </c>
      <c r="N25" s="15" t="str">
        <f aca="false">IF($B25="","",N24+K25)</f>
        <v/>
      </c>
      <c r="O25" s="15" t="str">
        <f aca="false">IF($B25="","",O24+J25)</f>
        <v/>
      </c>
      <c r="P25" s="14" t="str">
        <f aca="false">IF($B25="","",P24+L25)</f>
        <v/>
      </c>
      <c r="Q25" s="18" t="str">
        <f aca="false">IF(OR($B25="",Q24="",'1 Setup'!$C$10=""),"",IF(AND($C25="Continuous",N(INDEX('2 Phases'!$G$7:$G$12,B25))&gt;0),IF('1 Setup'!$G$10="","",MAX(0,('1 Setup'!$G$10+('1 Setup'!$H$10*'1 Setup'!$C$10*0.00000024*$H25)/N(INDEX('2 Phases'!$G$7:$G$12,B25)))+(((Q24*($G24-$F24)+N('1 Setup'!$F$10)*$F24)/$G24)-('1 Setup'!$G$10+('1 Setup'!$H$10*'1 Setup'!$C$10*0.00000024*$H25)/N(INDEX('2 Phases'!$G$7:$G$12,B25))))*EXP(-N(INDEX('2 Phases'!$G$7:$G$12,B25))))),MAX(0,((Q24*($G24-$F24)+N('1 Setup'!$F$10)*$F24)/$G24)+('1 Setup'!$H$10*'1 Setup'!$C$10*0.00000024*$H25))))</f>
        <v/>
      </c>
      <c r="R25" s="18" t="str">
        <f aca="false">IF(OR($B25="",R24="",'1 Setup'!$C$11=""),"",IF(AND($C25="Continuous",N(INDEX('2 Phases'!$G$7:$G$12,B25))&gt;0),IF('1 Setup'!$G$11="","",MAX(0,('1 Setup'!$G$11+('1 Setup'!$H$11*'1 Setup'!$C$11*0.00000024*$H25)/N(INDEX('2 Phases'!$G$7:$G$12,B25)))+(((R24*($G24-$F24)+N('1 Setup'!$F$11)*$F24)/$G24)-('1 Setup'!$G$11+('1 Setup'!$H$11*'1 Setup'!$C$11*0.00000024*$H25)/N(INDEX('2 Phases'!$G$7:$G$12,B25))))*EXP(-N(INDEX('2 Phases'!$G$7:$G$12,B25))))),MAX(0,((R24*($G24-$F24)+N('1 Setup'!$F$11)*$F24)/$G24)+('1 Setup'!$H$11*'1 Setup'!$C$11*0.00000024*$H25))))</f>
        <v/>
      </c>
      <c r="S25" s="18" t="str">
        <f aca="false">IF(OR($B25="",S24="",'1 Setup'!$C$12=""),"",IF(AND($C25="Continuous",N(INDEX('2 Phases'!$G$7:$G$12,B25))&gt;0),IF('1 Setup'!$G$12="","",MAX(0,('1 Setup'!$G$12+('1 Setup'!$H$12*'1 Setup'!$C$12*0.00000024*$H25)/N(INDEX('2 Phases'!$G$7:$G$12,B25)))+(((S24*($G24-$F24)+N('1 Setup'!$F$12)*$F24)/$G24)-('1 Setup'!$G$12+('1 Setup'!$H$12*'1 Setup'!$C$12*0.00000024*$H25)/N(INDEX('2 Phases'!$G$7:$G$12,B25))))*EXP(-N(INDEX('2 Phases'!$G$7:$G$12,B25))))),MAX(0,((S24*($G24-$F24)+N('1 Setup'!$F$12)*$F24)/$G24)+('1 Setup'!$H$12*'1 Setup'!$C$12*0.00000024*$H25))))</f>
        <v/>
      </c>
      <c r="T25" s="18" t="str">
        <f aca="false">IF(OR($B25="",T24="",'1 Setup'!$C$13=""),"",IF(AND($C25="Continuous",N(INDEX('2 Phases'!$G$7:$G$12,B25))&gt;0),IF('1 Setup'!$G$13="","",MAX(0,('1 Setup'!$G$13+('1 Setup'!$H$13*'1 Setup'!$C$13*0.00000024*$H25)/N(INDEX('2 Phases'!$G$7:$G$12,B25)))+(((T24*($G24-$F24)+N('1 Setup'!$F$13)*$F24)/$G24)-('1 Setup'!$G$13+('1 Setup'!$H$13*'1 Setup'!$C$13*0.00000024*$H25)/N(INDEX('2 Phases'!$G$7:$G$12,B25))))*EXP(-N(INDEX('2 Phases'!$G$7:$G$12,B25))))),MAX(0,((T24*($G24-$F24)+N('1 Setup'!$F$13)*$F24)/$G24)+('1 Setup'!$H$13*'1 Setup'!$C$13*0.00000024*$H25))))</f>
        <v/>
      </c>
      <c r="U25" s="18" t="str">
        <f aca="false">IF(OR($B25="",U24="",'1 Setup'!$C$14=""),"",IF(AND($C25="Continuous",N(INDEX('2 Phases'!$G$7:$G$12,B25))&gt;0),IF('1 Setup'!$G$14="","",MAX(0,('1 Setup'!$G$14+('1 Setup'!$H$14*'1 Setup'!$C$14*0.00000024*$H25)/N(INDEX('2 Phases'!$G$7:$G$12,B25)))+(((U24*($G24-$F24)+N('1 Setup'!$F$14)*$F24)/$G24)-('1 Setup'!$G$14+('1 Setup'!$H$14*'1 Setup'!$C$14*0.00000024*$H25)/N(INDEX('2 Phases'!$G$7:$G$12,B25))))*EXP(-N(INDEX('2 Phases'!$G$7:$G$12,B25))))),MAX(0,((U24*($G24-$F24)+N('1 Setup'!$F$14)*$F24)/$G24)+('1 Setup'!$H$14*'1 Setup'!$C$14*0.00000024*$H25))))</f>
        <v/>
      </c>
      <c r="V25" s="18" t="str">
        <f aca="false">IF($B25="","",E25/1000000*'1 Setup'!$B$7)</f>
        <v/>
      </c>
      <c r="W25" s="18" t="str">
        <f aca="false">IF($B25="","",V25*G25)</f>
        <v/>
      </c>
      <c r="X25" s="18" t="str">
        <f aca="false">IF($B25="","",P25*'1 Setup'!$B$7/1000000000)</f>
        <v/>
      </c>
      <c r="Y25" s="18" t="str">
        <f aca="false">IF($B25="","",L25*'1 Setup'!$B$7/1000000000)</f>
        <v/>
      </c>
    </row>
    <row r="26" customFormat="false" ht="15" hidden="false" customHeight="false" outlineLevel="0" collapsed="false">
      <c r="A26" s="7" t="n">
        <v>20</v>
      </c>
      <c r="B26" s="7" t="str">
        <f aca="false">IF(A26&gt;'2 Phases'!$D$4,"",IF(A26=0,1,COUNTIF('2 Phases'!$M$7:$M$12,"&lt;"&amp;A26)+1))</f>
        <v/>
      </c>
      <c r="C26" s="7" t="str">
        <f aca="false">IF($B26="","",INDEX('2 Phases'!$C$7:$C$12,B26))</f>
        <v/>
      </c>
      <c r="D26" s="7" t="str">
        <f aca="false">IF($B26="","",A26-INDEX('2 Phases'!$L$7:$L$12,B26))</f>
        <v/>
      </c>
      <c r="E26" s="14" t="str">
        <f aca="false">IF($B26="","",IFERROR(IF(C26="Continuous",INDEX('2 Phases'!$N$7:$N$12,B26)*EXP((INDEX('2 Phases'!$P$7:$P$12,B26)-N(INDEX('2 Phases'!$H$7:$H$12,B26)))*D26),INDEX('2 Phases'!$N$7:$N$12,B26)*(IF(INDEX('2 Phases'!$E$7:$E$12,B26)="",INDEX('2 Phases'!$N$7:$N$12,B26),INDEX('2 Phases'!$E$7:$E$12,B26))/INDEX('2 Phases'!$N$7:$N$12,B26))^(D26/INDEX('2 Phases'!$D$7:$D$12,B26))),""))</f>
        <v/>
      </c>
      <c r="F26" s="15" t="n">
        <f aca="false">IF(OR($B26="",C26&lt;&gt;"Fed-batch",D26=0),0,IFERROR(N(INDEX('3 Feed regimes'!$B$6:$E$35,D26,MATCH(INDEX('2 Phases'!$F$7:$F$12,B26),'3 Feed regimes'!$B$4:$E$4,0)))*'1 Setup'!$B$5/100,0))</f>
        <v>0</v>
      </c>
      <c r="G26" s="15" t="str">
        <f aca="false">IF($B26="","",G25+F26)</f>
        <v/>
      </c>
      <c r="H26" s="14" t="str">
        <f aca="false">IF($B26="","",(E25+E26)/2)</f>
        <v/>
      </c>
      <c r="I26" s="15" t="str">
        <f aca="false">IF($B26="","",IF(C26="Continuous",N(INDEX('2 Phases'!$G$7:$G$12,B26))*G25,0))</f>
        <v/>
      </c>
      <c r="J26" s="15" t="str">
        <f aca="false">IF($B26="","",IF(C26="Continuous",N(INDEX('2 Phases'!$H$7:$H$12,B26))*G25,0))</f>
        <v/>
      </c>
      <c r="K26" s="15" t="str">
        <f aca="false">IF($B26="","",I26-J26)</f>
        <v/>
      </c>
      <c r="L26" s="14" t="str">
        <f aca="false">IF($B26="","",J26*1000*H26)</f>
        <v/>
      </c>
      <c r="M26" s="15" t="str">
        <f aca="false">IF($B26="","",M25+F26+I26)</f>
        <v/>
      </c>
      <c r="N26" s="15" t="str">
        <f aca="false">IF($B26="","",N25+K26)</f>
        <v/>
      </c>
      <c r="O26" s="15" t="str">
        <f aca="false">IF($B26="","",O25+J26)</f>
        <v/>
      </c>
      <c r="P26" s="14" t="str">
        <f aca="false">IF($B26="","",P25+L26)</f>
        <v/>
      </c>
      <c r="Q26" s="18" t="str">
        <f aca="false">IF(OR($B26="",Q25="",'1 Setup'!$C$10=""),"",IF(AND($C26="Continuous",N(INDEX('2 Phases'!$G$7:$G$12,B26))&gt;0),IF('1 Setup'!$G$10="","",MAX(0,('1 Setup'!$G$10+('1 Setup'!$H$10*'1 Setup'!$C$10*0.00000024*$H26)/N(INDEX('2 Phases'!$G$7:$G$12,B26)))+(((Q25*($G25-$F25)+N('1 Setup'!$F$10)*$F25)/$G25)-('1 Setup'!$G$10+('1 Setup'!$H$10*'1 Setup'!$C$10*0.00000024*$H26)/N(INDEX('2 Phases'!$G$7:$G$12,B26))))*EXP(-N(INDEX('2 Phases'!$G$7:$G$12,B26))))),MAX(0,((Q25*($G25-$F25)+N('1 Setup'!$F$10)*$F25)/$G25)+('1 Setup'!$H$10*'1 Setup'!$C$10*0.00000024*$H26))))</f>
        <v/>
      </c>
      <c r="R26" s="18" t="str">
        <f aca="false">IF(OR($B26="",R25="",'1 Setup'!$C$11=""),"",IF(AND($C26="Continuous",N(INDEX('2 Phases'!$G$7:$G$12,B26))&gt;0),IF('1 Setup'!$G$11="","",MAX(0,('1 Setup'!$G$11+('1 Setup'!$H$11*'1 Setup'!$C$11*0.00000024*$H26)/N(INDEX('2 Phases'!$G$7:$G$12,B26)))+(((R25*($G25-$F25)+N('1 Setup'!$F$11)*$F25)/$G25)-('1 Setup'!$G$11+('1 Setup'!$H$11*'1 Setup'!$C$11*0.00000024*$H26)/N(INDEX('2 Phases'!$G$7:$G$12,B26))))*EXP(-N(INDEX('2 Phases'!$G$7:$G$12,B26))))),MAX(0,((R25*($G25-$F25)+N('1 Setup'!$F$11)*$F25)/$G25)+('1 Setup'!$H$11*'1 Setup'!$C$11*0.00000024*$H26))))</f>
        <v/>
      </c>
      <c r="S26" s="18" t="str">
        <f aca="false">IF(OR($B26="",S25="",'1 Setup'!$C$12=""),"",IF(AND($C26="Continuous",N(INDEX('2 Phases'!$G$7:$G$12,B26))&gt;0),IF('1 Setup'!$G$12="","",MAX(0,('1 Setup'!$G$12+('1 Setup'!$H$12*'1 Setup'!$C$12*0.00000024*$H26)/N(INDEX('2 Phases'!$G$7:$G$12,B26)))+(((S25*($G25-$F25)+N('1 Setup'!$F$12)*$F25)/$G25)-('1 Setup'!$G$12+('1 Setup'!$H$12*'1 Setup'!$C$12*0.00000024*$H26)/N(INDEX('2 Phases'!$G$7:$G$12,B26))))*EXP(-N(INDEX('2 Phases'!$G$7:$G$12,B26))))),MAX(0,((S25*($G25-$F25)+N('1 Setup'!$F$12)*$F25)/$G25)+('1 Setup'!$H$12*'1 Setup'!$C$12*0.00000024*$H26))))</f>
        <v/>
      </c>
      <c r="T26" s="18" t="str">
        <f aca="false">IF(OR($B26="",T25="",'1 Setup'!$C$13=""),"",IF(AND($C26="Continuous",N(INDEX('2 Phases'!$G$7:$G$12,B26))&gt;0),IF('1 Setup'!$G$13="","",MAX(0,('1 Setup'!$G$13+('1 Setup'!$H$13*'1 Setup'!$C$13*0.00000024*$H26)/N(INDEX('2 Phases'!$G$7:$G$12,B26)))+(((T25*($G25-$F25)+N('1 Setup'!$F$13)*$F25)/$G25)-('1 Setup'!$G$13+('1 Setup'!$H$13*'1 Setup'!$C$13*0.00000024*$H26)/N(INDEX('2 Phases'!$G$7:$G$12,B26))))*EXP(-N(INDEX('2 Phases'!$G$7:$G$12,B26))))),MAX(0,((T25*($G25-$F25)+N('1 Setup'!$F$13)*$F25)/$G25)+('1 Setup'!$H$13*'1 Setup'!$C$13*0.00000024*$H26))))</f>
        <v/>
      </c>
      <c r="U26" s="18" t="str">
        <f aca="false">IF(OR($B26="",U25="",'1 Setup'!$C$14=""),"",IF(AND($C26="Continuous",N(INDEX('2 Phases'!$G$7:$G$12,B26))&gt;0),IF('1 Setup'!$G$14="","",MAX(0,('1 Setup'!$G$14+('1 Setup'!$H$14*'1 Setup'!$C$14*0.00000024*$H26)/N(INDEX('2 Phases'!$G$7:$G$12,B26)))+(((U25*($G25-$F25)+N('1 Setup'!$F$14)*$F25)/$G25)-('1 Setup'!$G$14+('1 Setup'!$H$14*'1 Setup'!$C$14*0.00000024*$H26)/N(INDEX('2 Phases'!$G$7:$G$12,B26))))*EXP(-N(INDEX('2 Phases'!$G$7:$G$12,B26))))),MAX(0,((U25*($G25-$F25)+N('1 Setup'!$F$14)*$F25)/$G25)+('1 Setup'!$H$14*'1 Setup'!$C$14*0.00000024*$H26))))</f>
        <v/>
      </c>
      <c r="V26" s="18" t="str">
        <f aca="false">IF($B26="","",E26/1000000*'1 Setup'!$B$7)</f>
        <v/>
      </c>
      <c r="W26" s="18" t="str">
        <f aca="false">IF($B26="","",V26*G26)</f>
        <v/>
      </c>
      <c r="X26" s="18" t="str">
        <f aca="false">IF($B26="","",P26*'1 Setup'!$B$7/1000000000)</f>
        <v/>
      </c>
      <c r="Y26" s="18" t="str">
        <f aca="false">IF($B26="","",L26*'1 Setup'!$B$7/1000000000)</f>
        <v/>
      </c>
    </row>
    <row r="27" customFormat="false" ht="15" hidden="false" customHeight="false" outlineLevel="0" collapsed="false">
      <c r="A27" s="7" t="n">
        <v>21</v>
      </c>
      <c r="B27" s="7" t="str">
        <f aca="false">IF(A27&gt;'2 Phases'!$D$4,"",IF(A27=0,1,COUNTIF('2 Phases'!$M$7:$M$12,"&lt;"&amp;A27)+1))</f>
        <v/>
      </c>
      <c r="C27" s="7" t="str">
        <f aca="false">IF($B27="","",INDEX('2 Phases'!$C$7:$C$12,B27))</f>
        <v/>
      </c>
      <c r="D27" s="7" t="str">
        <f aca="false">IF($B27="","",A27-INDEX('2 Phases'!$L$7:$L$12,B27))</f>
        <v/>
      </c>
      <c r="E27" s="14" t="str">
        <f aca="false">IF($B27="","",IFERROR(IF(C27="Continuous",INDEX('2 Phases'!$N$7:$N$12,B27)*EXP((INDEX('2 Phases'!$P$7:$P$12,B27)-N(INDEX('2 Phases'!$H$7:$H$12,B27)))*D27),INDEX('2 Phases'!$N$7:$N$12,B27)*(IF(INDEX('2 Phases'!$E$7:$E$12,B27)="",INDEX('2 Phases'!$N$7:$N$12,B27),INDEX('2 Phases'!$E$7:$E$12,B27))/INDEX('2 Phases'!$N$7:$N$12,B27))^(D27/INDEX('2 Phases'!$D$7:$D$12,B27))),""))</f>
        <v/>
      </c>
      <c r="F27" s="15" t="n">
        <f aca="false">IF(OR($B27="",C27&lt;&gt;"Fed-batch",D27=0),0,IFERROR(N(INDEX('3 Feed regimes'!$B$6:$E$35,D27,MATCH(INDEX('2 Phases'!$F$7:$F$12,B27),'3 Feed regimes'!$B$4:$E$4,0)))*'1 Setup'!$B$5/100,0))</f>
        <v>0</v>
      </c>
      <c r="G27" s="15" t="str">
        <f aca="false">IF($B27="","",G26+F27)</f>
        <v/>
      </c>
      <c r="H27" s="14" t="str">
        <f aca="false">IF($B27="","",(E26+E27)/2)</f>
        <v/>
      </c>
      <c r="I27" s="15" t="str">
        <f aca="false">IF($B27="","",IF(C27="Continuous",N(INDEX('2 Phases'!$G$7:$G$12,B27))*G26,0))</f>
        <v/>
      </c>
      <c r="J27" s="15" t="str">
        <f aca="false">IF($B27="","",IF(C27="Continuous",N(INDEX('2 Phases'!$H$7:$H$12,B27))*G26,0))</f>
        <v/>
      </c>
      <c r="K27" s="15" t="str">
        <f aca="false">IF($B27="","",I27-J27)</f>
        <v/>
      </c>
      <c r="L27" s="14" t="str">
        <f aca="false">IF($B27="","",J27*1000*H27)</f>
        <v/>
      </c>
      <c r="M27" s="15" t="str">
        <f aca="false">IF($B27="","",M26+F27+I27)</f>
        <v/>
      </c>
      <c r="N27" s="15" t="str">
        <f aca="false">IF($B27="","",N26+K27)</f>
        <v/>
      </c>
      <c r="O27" s="15" t="str">
        <f aca="false">IF($B27="","",O26+J27)</f>
        <v/>
      </c>
      <c r="P27" s="14" t="str">
        <f aca="false">IF($B27="","",P26+L27)</f>
        <v/>
      </c>
      <c r="Q27" s="18" t="str">
        <f aca="false">IF(OR($B27="",Q26="",'1 Setup'!$C$10=""),"",IF(AND($C27="Continuous",N(INDEX('2 Phases'!$G$7:$G$12,B27))&gt;0),IF('1 Setup'!$G$10="","",MAX(0,('1 Setup'!$G$10+('1 Setup'!$H$10*'1 Setup'!$C$10*0.00000024*$H27)/N(INDEX('2 Phases'!$G$7:$G$12,B27)))+(((Q26*($G26-$F26)+N('1 Setup'!$F$10)*$F26)/$G26)-('1 Setup'!$G$10+('1 Setup'!$H$10*'1 Setup'!$C$10*0.00000024*$H27)/N(INDEX('2 Phases'!$G$7:$G$12,B27))))*EXP(-N(INDEX('2 Phases'!$G$7:$G$12,B27))))),MAX(0,((Q26*($G26-$F26)+N('1 Setup'!$F$10)*$F26)/$G26)+('1 Setup'!$H$10*'1 Setup'!$C$10*0.00000024*$H27))))</f>
        <v/>
      </c>
      <c r="R27" s="18" t="str">
        <f aca="false">IF(OR($B27="",R26="",'1 Setup'!$C$11=""),"",IF(AND($C27="Continuous",N(INDEX('2 Phases'!$G$7:$G$12,B27))&gt;0),IF('1 Setup'!$G$11="","",MAX(0,('1 Setup'!$G$11+('1 Setup'!$H$11*'1 Setup'!$C$11*0.00000024*$H27)/N(INDEX('2 Phases'!$G$7:$G$12,B27)))+(((R26*($G26-$F26)+N('1 Setup'!$F$11)*$F26)/$G26)-('1 Setup'!$G$11+('1 Setup'!$H$11*'1 Setup'!$C$11*0.00000024*$H27)/N(INDEX('2 Phases'!$G$7:$G$12,B27))))*EXP(-N(INDEX('2 Phases'!$G$7:$G$12,B27))))),MAX(0,((R26*($G26-$F26)+N('1 Setup'!$F$11)*$F26)/$G26)+('1 Setup'!$H$11*'1 Setup'!$C$11*0.00000024*$H27))))</f>
        <v/>
      </c>
      <c r="S27" s="18" t="str">
        <f aca="false">IF(OR($B27="",S26="",'1 Setup'!$C$12=""),"",IF(AND($C27="Continuous",N(INDEX('2 Phases'!$G$7:$G$12,B27))&gt;0),IF('1 Setup'!$G$12="","",MAX(0,('1 Setup'!$G$12+('1 Setup'!$H$12*'1 Setup'!$C$12*0.00000024*$H27)/N(INDEX('2 Phases'!$G$7:$G$12,B27)))+(((S26*($G26-$F26)+N('1 Setup'!$F$12)*$F26)/$G26)-('1 Setup'!$G$12+('1 Setup'!$H$12*'1 Setup'!$C$12*0.00000024*$H27)/N(INDEX('2 Phases'!$G$7:$G$12,B27))))*EXP(-N(INDEX('2 Phases'!$G$7:$G$12,B27))))),MAX(0,((S26*($G26-$F26)+N('1 Setup'!$F$12)*$F26)/$G26)+('1 Setup'!$H$12*'1 Setup'!$C$12*0.00000024*$H27))))</f>
        <v/>
      </c>
      <c r="T27" s="18" t="str">
        <f aca="false">IF(OR($B27="",T26="",'1 Setup'!$C$13=""),"",IF(AND($C27="Continuous",N(INDEX('2 Phases'!$G$7:$G$12,B27))&gt;0),IF('1 Setup'!$G$13="","",MAX(0,('1 Setup'!$G$13+('1 Setup'!$H$13*'1 Setup'!$C$13*0.00000024*$H27)/N(INDEX('2 Phases'!$G$7:$G$12,B27)))+(((T26*($G26-$F26)+N('1 Setup'!$F$13)*$F26)/$G26)-('1 Setup'!$G$13+('1 Setup'!$H$13*'1 Setup'!$C$13*0.00000024*$H27)/N(INDEX('2 Phases'!$G$7:$G$12,B27))))*EXP(-N(INDEX('2 Phases'!$G$7:$G$12,B27))))),MAX(0,((T26*($G26-$F26)+N('1 Setup'!$F$13)*$F26)/$G26)+('1 Setup'!$H$13*'1 Setup'!$C$13*0.00000024*$H27))))</f>
        <v/>
      </c>
      <c r="U27" s="18" t="str">
        <f aca="false">IF(OR($B27="",U26="",'1 Setup'!$C$14=""),"",IF(AND($C27="Continuous",N(INDEX('2 Phases'!$G$7:$G$12,B27))&gt;0),IF('1 Setup'!$G$14="","",MAX(0,('1 Setup'!$G$14+('1 Setup'!$H$14*'1 Setup'!$C$14*0.00000024*$H27)/N(INDEX('2 Phases'!$G$7:$G$12,B27)))+(((U26*($G26-$F26)+N('1 Setup'!$F$14)*$F26)/$G26)-('1 Setup'!$G$14+('1 Setup'!$H$14*'1 Setup'!$C$14*0.00000024*$H27)/N(INDEX('2 Phases'!$G$7:$G$12,B27))))*EXP(-N(INDEX('2 Phases'!$G$7:$G$12,B27))))),MAX(0,((U26*($G26-$F26)+N('1 Setup'!$F$14)*$F26)/$G26)+('1 Setup'!$H$14*'1 Setup'!$C$14*0.00000024*$H27))))</f>
        <v/>
      </c>
      <c r="V27" s="18" t="str">
        <f aca="false">IF($B27="","",E27/1000000*'1 Setup'!$B$7)</f>
        <v/>
      </c>
      <c r="W27" s="18" t="str">
        <f aca="false">IF($B27="","",V27*G27)</f>
        <v/>
      </c>
      <c r="X27" s="18" t="str">
        <f aca="false">IF($B27="","",P27*'1 Setup'!$B$7/1000000000)</f>
        <v/>
      </c>
      <c r="Y27" s="18" t="str">
        <f aca="false">IF($B27="","",L27*'1 Setup'!$B$7/1000000000)</f>
        <v/>
      </c>
    </row>
    <row r="28" customFormat="false" ht="15" hidden="false" customHeight="false" outlineLevel="0" collapsed="false">
      <c r="A28" s="7" t="n">
        <v>22</v>
      </c>
      <c r="B28" s="7" t="str">
        <f aca="false">IF(A28&gt;'2 Phases'!$D$4,"",IF(A28=0,1,COUNTIF('2 Phases'!$M$7:$M$12,"&lt;"&amp;A28)+1))</f>
        <v/>
      </c>
      <c r="C28" s="7" t="str">
        <f aca="false">IF($B28="","",INDEX('2 Phases'!$C$7:$C$12,B28))</f>
        <v/>
      </c>
      <c r="D28" s="7" t="str">
        <f aca="false">IF($B28="","",A28-INDEX('2 Phases'!$L$7:$L$12,B28))</f>
        <v/>
      </c>
      <c r="E28" s="14" t="str">
        <f aca="false">IF($B28="","",IFERROR(IF(C28="Continuous",INDEX('2 Phases'!$N$7:$N$12,B28)*EXP((INDEX('2 Phases'!$P$7:$P$12,B28)-N(INDEX('2 Phases'!$H$7:$H$12,B28)))*D28),INDEX('2 Phases'!$N$7:$N$12,B28)*(IF(INDEX('2 Phases'!$E$7:$E$12,B28)="",INDEX('2 Phases'!$N$7:$N$12,B28),INDEX('2 Phases'!$E$7:$E$12,B28))/INDEX('2 Phases'!$N$7:$N$12,B28))^(D28/INDEX('2 Phases'!$D$7:$D$12,B28))),""))</f>
        <v/>
      </c>
      <c r="F28" s="15" t="n">
        <f aca="false">IF(OR($B28="",C28&lt;&gt;"Fed-batch",D28=0),0,IFERROR(N(INDEX('3 Feed regimes'!$B$6:$E$35,D28,MATCH(INDEX('2 Phases'!$F$7:$F$12,B28),'3 Feed regimes'!$B$4:$E$4,0)))*'1 Setup'!$B$5/100,0))</f>
        <v>0</v>
      </c>
      <c r="G28" s="15" t="str">
        <f aca="false">IF($B28="","",G27+F28)</f>
        <v/>
      </c>
      <c r="H28" s="14" t="str">
        <f aca="false">IF($B28="","",(E27+E28)/2)</f>
        <v/>
      </c>
      <c r="I28" s="15" t="str">
        <f aca="false">IF($B28="","",IF(C28="Continuous",N(INDEX('2 Phases'!$G$7:$G$12,B28))*G27,0))</f>
        <v/>
      </c>
      <c r="J28" s="15" t="str">
        <f aca="false">IF($B28="","",IF(C28="Continuous",N(INDEX('2 Phases'!$H$7:$H$12,B28))*G27,0))</f>
        <v/>
      </c>
      <c r="K28" s="15" t="str">
        <f aca="false">IF($B28="","",I28-J28)</f>
        <v/>
      </c>
      <c r="L28" s="14" t="str">
        <f aca="false">IF($B28="","",J28*1000*H28)</f>
        <v/>
      </c>
      <c r="M28" s="15" t="str">
        <f aca="false">IF($B28="","",M27+F28+I28)</f>
        <v/>
      </c>
      <c r="N28" s="15" t="str">
        <f aca="false">IF($B28="","",N27+K28)</f>
        <v/>
      </c>
      <c r="O28" s="15" t="str">
        <f aca="false">IF($B28="","",O27+J28)</f>
        <v/>
      </c>
      <c r="P28" s="14" t="str">
        <f aca="false">IF($B28="","",P27+L28)</f>
        <v/>
      </c>
      <c r="Q28" s="18" t="str">
        <f aca="false">IF(OR($B28="",Q27="",'1 Setup'!$C$10=""),"",IF(AND($C28="Continuous",N(INDEX('2 Phases'!$G$7:$G$12,B28))&gt;0),IF('1 Setup'!$G$10="","",MAX(0,('1 Setup'!$G$10+('1 Setup'!$H$10*'1 Setup'!$C$10*0.00000024*$H28)/N(INDEX('2 Phases'!$G$7:$G$12,B28)))+(((Q27*($G27-$F27)+N('1 Setup'!$F$10)*$F27)/$G27)-('1 Setup'!$G$10+('1 Setup'!$H$10*'1 Setup'!$C$10*0.00000024*$H28)/N(INDEX('2 Phases'!$G$7:$G$12,B28))))*EXP(-N(INDEX('2 Phases'!$G$7:$G$12,B28))))),MAX(0,((Q27*($G27-$F27)+N('1 Setup'!$F$10)*$F27)/$G27)+('1 Setup'!$H$10*'1 Setup'!$C$10*0.00000024*$H28))))</f>
        <v/>
      </c>
      <c r="R28" s="18" t="str">
        <f aca="false">IF(OR($B28="",R27="",'1 Setup'!$C$11=""),"",IF(AND($C28="Continuous",N(INDEX('2 Phases'!$G$7:$G$12,B28))&gt;0),IF('1 Setup'!$G$11="","",MAX(0,('1 Setup'!$G$11+('1 Setup'!$H$11*'1 Setup'!$C$11*0.00000024*$H28)/N(INDEX('2 Phases'!$G$7:$G$12,B28)))+(((R27*($G27-$F27)+N('1 Setup'!$F$11)*$F27)/$G27)-('1 Setup'!$G$11+('1 Setup'!$H$11*'1 Setup'!$C$11*0.00000024*$H28)/N(INDEX('2 Phases'!$G$7:$G$12,B28))))*EXP(-N(INDEX('2 Phases'!$G$7:$G$12,B28))))),MAX(0,((R27*($G27-$F27)+N('1 Setup'!$F$11)*$F27)/$G27)+('1 Setup'!$H$11*'1 Setup'!$C$11*0.00000024*$H28))))</f>
        <v/>
      </c>
      <c r="S28" s="18" t="str">
        <f aca="false">IF(OR($B28="",S27="",'1 Setup'!$C$12=""),"",IF(AND($C28="Continuous",N(INDEX('2 Phases'!$G$7:$G$12,B28))&gt;0),IF('1 Setup'!$G$12="","",MAX(0,('1 Setup'!$G$12+('1 Setup'!$H$12*'1 Setup'!$C$12*0.00000024*$H28)/N(INDEX('2 Phases'!$G$7:$G$12,B28)))+(((S27*($G27-$F27)+N('1 Setup'!$F$12)*$F27)/$G27)-('1 Setup'!$G$12+('1 Setup'!$H$12*'1 Setup'!$C$12*0.00000024*$H28)/N(INDEX('2 Phases'!$G$7:$G$12,B28))))*EXP(-N(INDEX('2 Phases'!$G$7:$G$12,B28))))),MAX(0,((S27*($G27-$F27)+N('1 Setup'!$F$12)*$F27)/$G27)+('1 Setup'!$H$12*'1 Setup'!$C$12*0.00000024*$H28))))</f>
        <v/>
      </c>
      <c r="T28" s="18" t="str">
        <f aca="false">IF(OR($B28="",T27="",'1 Setup'!$C$13=""),"",IF(AND($C28="Continuous",N(INDEX('2 Phases'!$G$7:$G$12,B28))&gt;0),IF('1 Setup'!$G$13="","",MAX(0,('1 Setup'!$G$13+('1 Setup'!$H$13*'1 Setup'!$C$13*0.00000024*$H28)/N(INDEX('2 Phases'!$G$7:$G$12,B28)))+(((T27*($G27-$F27)+N('1 Setup'!$F$13)*$F27)/$G27)-('1 Setup'!$G$13+('1 Setup'!$H$13*'1 Setup'!$C$13*0.00000024*$H28)/N(INDEX('2 Phases'!$G$7:$G$12,B28))))*EXP(-N(INDEX('2 Phases'!$G$7:$G$12,B28))))),MAX(0,((T27*($G27-$F27)+N('1 Setup'!$F$13)*$F27)/$G27)+('1 Setup'!$H$13*'1 Setup'!$C$13*0.00000024*$H28))))</f>
        <v/>
      </c>
      <c r="U28" s="18" t="str">
        <f aca="false">IF(OR($B28="",U27="",'1 Setup'!$C$14=""),"",IF(AND($C28="Continuous",N(INDEX('2 Phases'!$G$7:$G$12,B28))&gt;0),IF('1 Setup'!$G$14="","",MAX(0,('1 Setup'!$G$14+('1 Setup'!$H$14*'1 Setup'!$C$14*0.00000024*$H28)/N(INDEX('2 Phases'!$G$7:$G$12,B28)))+(((U27*($G27-$F27)+N('1 Setup'!$F$14)*$F27)/$G27)-('1 Setup'!$G$14+('1 Setup'!$H$14*'1 Setup'!$C$14*0.00000024*$H28)/N(INDEX('2 Phases'!$G$7:$G$12,B28))))*EXP(-N(INDEX('2 Phases'!$G$7:$G$12,B28))))),MAX(0,((U27*($G27-$F27)+N('1 Setup'!$F$14)*$F27)/$G27)+('1 Setup'!$H$14*'1 Setup'!$C$14*0.00000024*$H28))))</f>
        <v/>
      </c>
      <c r="V28" s="18" t="str">
        <f aca="false">IF($B28="","",E28/1000000*'1 Setup'!$B$7)</f>
        <v/>
      </c>
      <c r="W28" s="18" t="str">
        <f aca="false">IF($B28="","",V28*G28)</f>
        <v/>
      </c>
      <c r="X28" s="18" t="str">
        <f aca="false">IF($B28="","",P28*'1 Setup'!$B$7/1000000000)</f>
        <v/>
      </c>
      <c r="Y28" s="18" t="str">
        <f aca="false">IF($B28="","",L28*'1 Setup'!$B$7/1000000000)</f>
        <v/>
      </c>
    </row>
    <row r="29" customFormat="false" ht="15" hidden="false" customHeight="false" outlineLevel="0" collapsed="false">
      <c r="A29" s="7" t="n">
        <v>23</v>
      </c>
      <c r="B29" s="7" t="str">
        <f aca="false">IF(A29&gt;'2 Phases'!$D$4,"",IF(A29=0,1,COUNTIF('2 Phases'!$M$7:$M$12,"&lt;"&amp;A29)+1))</f>
        <v/>
      </c>
      <c r="C29" s="7" t="str">
        <f aca="false">IF($B29="","",INDEX('2 Phases'!$C$7:$C$12,B29))</f>
        <v/>
      </c>
      <c r="D29" s="7" t="str">
        <f aca="false">IF($B29="","",A29-INDEX('2 Phases'!$L$7:$L$12,B29))</f>
        <v/>
      </c>
      <c r="E29" s="14" t="str">
        <f aca="false">IF($B29="","",IFERROR(IF(C29="Continuous",INDEX('2 Phases'!$N$7:$N$12,B29)*EXP((INDEX('2 Phases'!$P$7:$P$12,B29)-N(INDEX('2 Phases'!$H$7:$H$12,B29)))*D29),INDEX('2 Phases'!$N$7:$N$12,B29)*(IF(INDEX('2 Phases'!$E$7:$E$12,B29)="",INDEX('2 Phases'!$N$7:$N$12,B29),INDEX('2 Phases'!$E$7:$E$12,B29))/INDEX('2 Phases'!$N$7:$N$12,B29))^(D29/INDEX('2 Phases'!$D$7:$D$12,B29))),""))</f>
        <v/>
      </c>
      <c r="F29" s="15" t="n">
        <f aca="false">IF(OR($B29="",C29&lt;&gt;"Fed-batch",D29=0),0,IFERROR(N(INDEX('3 Feed regimes'!$B$6:$E$35,D29,MATCH(INDEX('2 Phases'!$F$7:$F$12,B29),'3 Feed regimes'!$B$4:$E$4,0)))*'1 Setup'!$B$5/100,0))</f>
        <v>0</v>
      </c>
      <c r="G29" s="15" t="str">
        <f aca="false">IF($B29="","",G28+F29)</f>
        <v/>
      </c>
      <c r="H29" s="14" t="str">
        <f aca="false">IF($B29="","",(E28+E29)/2)</f>
        <v/>
      </c>
      <c r="I29" s="15" t="str">
        <f aca="false">IF($B29="","",IF(C29="Continuous",N(INDEX('2 Phases'!$G$7:$G$12,B29))*G28,0))</f>
        <v/>
      </c>
      <c r="J29" s="15" t="str">
        <f aca="false">IF($B29="","",IF(C29="Continuous",N(INDEX('2 Phases'!$H$7:$H$12,B29))*G28,0))</f>
        <v/>
      </c>
      <c r="K29" s="15" t="str">
        <f aca="false">IF($B29="","",I29-J29)</f>
        <v/>
      </c>
      <c r="L29" s="14" t="str">
        <f aca="false">IF($B29="","",J29*1000*H29)</f>
        <v/>
      </c>
      <c r="M29" s="15" t="str">
        <f aca="false">IF($B29="","",M28+F29+I29)</f>
        <v/>
      </c>
      <c r="N29" s="15" t="str">
        <f aca="false">IF($B29="","",N28+K29)</f>
        <v/>
      </c>
      <c r="O29" s="15" t="str">
        <f aca="false">IF($B29="","",O28+J29)</f>
        <v/>
      </c>
      <c r="P29" s="14" t="str">
        <f aca="false">IF($B29="","",P28+L29)</f>
        <v/>
      </c>
      <c r="Q29" s="18" t="str">
        <f aca="false">IF(OR($B29="",Q28="",'1 Setup'!$C$10=""),"",IF(AND($C29="Continuous",N(INDEX('2 Phases'!$G$7:$G$12,B29))&gt;0),IF('1 Setup'!$G$10="","",MAX(0,('1 Setup'!$G$10+('1 Setup'!$H$10*'1 Setup'!$C$10*0.00000024*$H29)/N(INDEX('2 Phases'!$G$7:$G$12,B29)))+(((Q28*($G28-$F28)+N('1 Setup'!$F$10)*$F28)/$G28)-('1 Setup'!$G$10+('1 Setup'!$H$10*'1 Setup'!$C$10*0.00000024*$H29)/N(INDEX('2 Phases'!$G$7:$G$12,B29))))*EXP(-N(INDEX('2 Phases'!$G$7:$G$12,B29))))),MAX(0,((Q28*($G28-$F28)+N('1 Setup'!$F$10)*$F28)/$G28)+('1 Setup'!$H$10*'1 Setup'!$C$10*0.00000024*$H29))))</f>
        <v/>
      </c>
      <c r="R29" s="18" t="str">
        <f aca="false">IF(OR($B29="",R28="",'1 Setup'!$C$11=""),"",IF(AND($C29="Continuous",N(INDEX('2 Phases'!$G$7:$G$12,B29))&gt;0),IF('1 Setup'!$G$11="","",MAX(0,('1 Setup'!$G$11+('1 Setup'!$H$11*'1 Setup'!$C$11*0.00000024*$H29)/N(INDEX('2 Phases'!$G$7:$G$12,B29)))+(((R28*($G28-$F28)+N('1 Setup'!$F$11)*$F28)/$G28)-('1 Setup'!$G$11+('1 Setup'!$H$11*'1 Setup'!$C$11*0.00000024*$H29)/N(INDEX('2 Phases'!$G$7:$G$12,B29))))*EXP(-N(INDEX('2 Phases'!$G$7:$G$12,B29))))),MAX(0,((R28*($G28-$F28)+N('1 Setup'!$F$11)*$F28)/$G28)+('1 Setup'!$H$11*'1 Setup'!$C$11*0.00000024*$H29))))</f>
        <v/>
      </c>
      <c r="S29" s="18" t="str">
        <f aca="false">IF(OR($B29="",S28="",'1 Setup'!$C$12=""),"",IF(AND($C29="Continuous",N(INDEX('2 Phases'!$G$7:$G$12,B29))&gt;0),IF('1 Setup'!$G$12="","",MAX(0,('1 Setup'!$G$12+('1 Setup'!$H$12*'1 Setup'!$C$12*0.00000024*$H29)/N(INDEX('2 Phases'!$G$7:$G$12,B29)))+(((S28*($G28-$F28)+N('1 Setup'!$F$12)*$F28)/$G28)-('1 Setup'!$G$12+('1 Setup'!$H$12*'1 Setup'!$C$12*0.00000024*$H29)/N(INDEX('2 Phases'!$G$7:$G$12,B29))))*EXP(-N(INDEX('2 Phases'!$G$7:$G$12,B29))))),MAX(0,((S28*($G28-$F28)+N('1 Setup'!$F$12)*$F28)/$G28)+('1 Setup'!$H$12*'1 Setup'!$C$12*0.00000024*$H29))))</f>
        <v/>
      </c>
      <c r="T29" s="18" t="str">
        <f aca="false">IF(OR($B29="",T28="",'1 Setup'!$C$13=""),"",IF(AND($C29="Continuous",N(INDEX('2 Phases'!$G$7:$G$12,B29))&gt;0),IF('1 Setup'!$G$13="","",MAX(0,('1 Setup'!$G$13+('1 Setup'!$H$13*'1 Setup'!$C$13*0.00000024*$H29)/N(INDEX('2 Phases'!$G$7:$G$12,B29)))+(((T28*($G28-$F28)+N('1 Setup'!$F$13)*$F28)/$G28)-('1 Setup'!$G$13+('1 Setup'!$H$13*'1 Setup'!$C$13*0.00000024*$H29)/N(INDEX('2 Phases'!$G$7:$G$12,B29))))*EXP(-N(INDEX('2 Phases'!$G$7:$G$12,B29))))),MAX(0,((T28*($G28-$F28)+N('1 Setup'!$F$13)*$F28)/$G28)+('1 Setup'!$H$13*'1 Setup'!$C$13*0.00000024*$H29))))</f>
        <v/>
      </c>
      <c r="U29" s="18" t="str">
        <f aca="false">IF(OR($B29="",U28="",'1 Setup'!$C$14=""),"",IF(AND($C29="Continuous",N(INDEX('2 Phases'!$G$7:$G$12,B29))&gt;0),IF('1 Setup'!$G$14="","",MAX(0,('1 Setup'!$G$14+('1 Setup'!$H$14*'1 Setup'!$C$14*0.00000024*$H29)/N(INDEX('2 Phases'!$G$7:$G$12,B29)))+(((U28*($G28-$F28)+N('1 Setup'!$F$14)*$F28)/$G28)-('1 Setup'!$G$14+('1 Setup'!$H$14*'1 Setup'!$C$14*0.00000024*$H29)/N(INDEX('2 Phases'!$G$7:$G$12,B29))))*EXP(-N(INDEX('2 Phases'!$G$7:$G$12,B29))))),MAX(0,((U28*($G28-$F28)+N('1 Setup'!$F$14)*$F28)/$G28)+('1 Setup'!$H$14*'1 Setup'!$C$14*0.00000024*$H29))))</f>
        <v/>
      </c>
      <c r="V29" s="18" t="str">
        <f aca="false">IF($B29="","",E29/1000000*'1 Setup'!$B$7)</f>
        <v/>
      </c>
      <c r="W29" s="18" t="str">
        <f aca="false">IF($B29="","",V29*G29)</f>
        <v/>
      </c>
      <c r="X29" s="18" t="str">
        <f aca="false">IF($B29="","",P29*'1 Setup'!$B$7/1000000000)</f>
        <v/>
      </c>
      <c r="Y29" s="18" t="str">
        <f aca="false">IF($B29="","",L29*'1 Setup'!$B$7/1000000000)</f>
        <v/>
      </c>
    </row>
    <row r="30" customFormat="false" ht="15" hidden="false" customHeight="false" outlineLevel="0" collapsed="false">
      <c r="A30" s="7" t="n">
        <v>24</v>
      </c>
      <c r="B30" s="7" t="str">
        <f aca="false">IF(A30&gt;'2 Phases'!$D$4,"",IF(A30=0,1,COUNTIF('2 Phases'!$M$7:$M$12,"&lt;"&amp;A30)+1))</f>
        <v/>
      </c>
      <c r="C30" s="7" t="str">
        <f aca="false">IF($B30="","",INDEX('2 Phases'!$C$7:$C$12,B30))</f>
        <v/>
      </c>
      <c r="D30" s="7" t="str">
        <f aca="false">IF($B30="","",A30-INDEX('2 Phases'!$L$7:$L$12,B30))</f>
        <v/>
      </c>
      <c r="E30" s="14" t="str">
        <f aca="false">IF($B30="","",IFERROR(IF(C30="Continuous",INDEX('2 Phases'!$N$7:$N$12,B30)*EXP((INDEX('2 Phases'!$P$7:$P$12,B30)-N(INDEX('2 Phases'!$H$7:$H$12,B30)))*D30),INDEX('2 Phases'!$N$7:$N$12,B30)*(IF(INDEX('2 Phases'!$E$7:$E$12,B30)="",INDEX('2 Phases'!$N$7:$N$12,B30),INDEX('2 Phases'!$E$7:$E$12,B30))/INDEX('2 Phases'!$N$7:$N$12,B30))^(D30/INDEX('2 Phases'!$D$7:$D$12,B30))),""))</f>
        <v/>
      </c>
      <c r="F30" s="15" t="n">
        <f aca="false">IF(OR($B30="",C30&lt;&gt;"Fed-batch",D30=0),0,IFERROR(N(INDEX('3 Feed regimes'!$B$6:$E$35,D30,MATCH(INDEX('2 Phases'!$F$7:$F$12,B30),'3 Feed regimes'!$B$4:$E$4,0)))*'1 Setup'!$B$5/100,0))</f>
        <v>0</v>
      </c>
      <c r="G30" s="15" t="str">
        <f aca="false">IF($B30="","",G29+F30)</f>
        <v/>
      </c>
      <c r="H30" s="14" t="str">
        <f aca="false">IF($B30="","",(E29+E30)/2)</f>
        <v/>
      </c>
      <c r="I30" s="15" t="str">
        <f aca="false">IF($B30="","",IF(C30="Continuous",N(INDEX('2 Phases'!$G$7:$G$12,B30))*G29,0))</f>
        <v/>
      </c>
      <c r="J30" s="15" t="str">
        <f aca="false">IF($B30="","",IF(C30="Continuous",N(INDEX('2 Phases'!$H$7:$H$12,B30))*G29,0))</f>
        <v/>
      </c>
      <c r="K30" s="15" t="str">
        <f aca="false">IF($B30="","",I30-J30)</f>
        <v/>
      </c>
      <c r="L30" s="14" t="str">
        <f aca="false">IF($B30="","",J30*1000*H30)</f>
        <v/>
      </c>
      <c r="M30" s="15" t="str">
        <f aca="false">IF($B30="","",M29+F30+I30)</f>
        <v/>
      </c>
      <c r="N30" s="15" t="str">
        <f aca="false">IF($B30="","",N29+K30)</f>
        <v/>
      </c>
      <c r="O30" s="15" t="str">
        <f aca="false">IF($B30="","",O29+J30)</f>
        <v/>
      </c>
      <c r="P30" s="14" t="str">
        <f aca="false">IF($B30="","",P29+L30)</f>
        <v/>
      </c>
      <c r="Q30" s="18" t="str">
        <f aca="false">IF(OR($B30="",Q29="",'1 Setup'!$C$10=""),"",IF(AND($C30="Continuous",N(INDEX('2 Phases'!$G$7:$G$12,B30))&gt;0),IF('1 Setup'!$G$10="","",MAX(0,('1 Setup'!$G$10+('1 Setup'!$H$10*'1 Setup'!$C$10*0.00000024*$H30)/N(INDEX('2 Phases'!$G$7:$G$12,B30)))+(((Q29*($G29-$F29)+N('1 Setup'!$F$10)*$F29)/$G29)-('1 Setup'!$G$10+('1 Setup'!$H$10*'1 Setup'!$C$10*0.00000024*$H30)/N(INDEX('2 Phases'!$G$7:$G$12,B30))))*EXP(-N(INDEX('2 Phases'!$G$7:$G$12,B30))))),MAX(0,((Q29*($G29-$F29)+N('1 Setup'!$F$10)*$F29)/$G29)+('1 Setup'!$H$10*'1 Setup'!$C$10*0.00000024*$H30))))</f>
        <v/>
      </c>
      <c r="R30" s="18" t="str">
        <f aca="false">IF(OR($B30="",R29="",'1 Setup'!$C$11=""),"",IF(AND($C30="Continuous",N(INDEX('2 Phases'!$G$7:$G$12,B30))&gt;0),IF('1 Setup'!$G$11="","",MAX(0,('1 Setup'!$G$11+('1 Setup'!$H$11*'1 Setup'!$C$11*0.00000024*$H30)/N(INDEX('2 Phases'!$G$7:$G$12,B30)))+(((R29*($G29-$F29)+N('1 Setup'!$F$11)*$F29)/$G29)-('1 Setup'!$G$11+('1 Setup'!$H$11*'1 Setup'!$C$11*0.00000024*$H30)/N(INDEX('2 Phases'!$G$7:$G$12,B30))))*EXP(-N(INDEX('2 Phases'!$G$7:$G$12,B30))))),MAX(0,((R29*($G29-$F29)+N('1 Setup'!$F$11)*$F29)/$G29)+('1 Setup'!$H$11*'1 Setup'!$C$11*0.00000024*$H30))))</f>
        <v/>
      </c>
      <c r="S30" s="18" t="str">
        <f aca="false">IF(OR($B30="",S29="",'1 Setup'!$C$12=""),"",IF(AND($C30="Continuous",N(INDEX('2 Phases'!$G$7:$G$12,B30))&gt;0),IF('1 Setup'!$G$12="","",MAX(0,('1 Setup'!$G$12+('1 Setup'!$H$12*'1 Setup'!$C$12*0.00000024*$H30)/N(INDEX('2 Phases'!$G$7:$G$12,B30)))+(((S29*($G29-$F29)+N('1 Setup'!$F$12)*$F29)/$G29)-('1 Setup'!$G$12+('1 Setup'!$H$12*'1 Setup'!$C$12*0.00000024*$H30)/N(INDEX('2 Phases'!$G$7:$G$12,B30))))*EXP(-N(INDEX('2 Phases'!$G$7:$G$12,B30))))),MAX(0,((S29*($G29-$F29)+N('1 Setup'!$F$12)*$F29)/$G29)+('1 Setup'!$H$12*'1 Setup'!$C$12*0.00000024*$H30))))</f>
        <v/>
      </c>
      <c r="T30" s="18" t="str">
        <f aca="false">IF(OR($B30="",T29="",'1 Setup'!$C$13=""),"",IF(AND($C30="Continuous",N(INDEX('2 Phases'!$G$7:$G$12,B30))&gt;0),IF('1 Setup'!$G$13="","",MAX(0,('1 Setup'!$G$13+('1 Setup'!$H$13*'1 Setup'!$C$13*0.00000024*$H30)/N(INDEX('2 Phases'!$G$7:$G$12,B30)))+(((T29*($G29-$F29)+N('1 Setup'!$F$13)*$F29)/$G29)-('1 Setup'!$G$13+('1 Setup'!$H$13*'1 Setup'!$C$13*0.00000024*$H30)/N(INDEX('2 Phases'!$G$7:$G$12,B30))))*EXP(-N(INDEX('2 Phases'!$G$7:$G$12,B30))))),MAX(0,((T29*($G29-$F29)+N('1 Setup'!$F$13)*$F29)/$G29)+('1 Setup'!$H$13*'1 Setup'!$C$13*0.00000024*$H30))))</f>
        <v/>
      </c>
      <c r="U30" s="18" t="str">
        <f aca="false">IF(OR($B30="",U29="",'1 Setup'!$C$14=""),"",IF(AND($C30="Continuous",N(INDEX('2 Phases'!$G$7:$G$12,B30))&gt;0),IF('1 Setup'!$G$14="","",MAX(0,('1 Setup'!$G$14+('1 Setup'!$H$14*'1 Setup'!$C$14*0.00000024*$H30)/N(INDEX('2 Phases'!$G$7:$G$12,B30)))+(((U29*($G29-$F29)+N('1 Setup'!$F$14)*$F29)/$G29)-('1 Setup'!$G$14+('1 Setup'!$H$14*'1 Setup'!$C$14*0.00000024*$H30)/N(INDEX('2 Phases'!$G$7:$G$12,B30))))*EXP(-N(INDEX('2 Phases'!$G$7:$G$12,B30))))),MAX(0,((U29*($G29-$F29)+N('1 Setup'!$F$14)*$F29)/$G29)+('1 Setup'!$H$14*'1 Setup'!$C$14*0.00000024*$H30))))</f>
        <v/>
      </c>
      <c r="V30" s="18" t="str">
        <f aca="false">IF($B30="","",E30/1000000*'1 Setup'!$B$7)</f>
        <v/>
      </c>
      <c r="W30" s="18" t="str">
        <f aca="false">IF($B30="","",V30*G30)</f>
        <v/>
      </c>
      <c r="X30" s="18" t="str">
        <f aca="false">IF($B30="","",P30*'1 Setup'!$B$7/1000000000)</f>
        <v/>
      </c>
      <c r="Y30" s="18" t="str">
        <f aca="false">IF($B30="","",L30*'1 Setup'!$B$7/1000000000)</f>
        <v/>
      </c>
    </row>
    <row r="31" customFormat="false" ht="15" hidden="false" customHeight="false" outlineLevel="0" collapsed="false">
      <c r="A31" s="7" t="n">
        <v>25</v>
      </c>
      <c r="B31" s="7" t="str">
        <f aca="false">IF(A31&gt;'2 Phases'!$D$4,"",IF(A31=0,1,COUNTIF('2 Phases'!$M$7:$M$12,"&lt;"&amp;A31)+1))</f>
        <v/>
      </c>
      <c r="C31" s="7" t="str">
        <f aca="false">IF($B31="","",INDEX('2 Phases'!$C$7:$C$12,B31))</f>
        <v/>
      </c>
      <c r="D31" s="7" t="str">
        <f aca="false">IF($B31="","",A31-INDEX('2 Phases'!$L$7:$L$12,B31))</f>
        <v/>
      </c>
      <c r="E31" s="14" t="str">
        <f aca="false">IF($B31="","",IFERROR(IF(C31="Continuous",INDEX('2 Phases'!$N$7:$N$12,B31)*EXP((INDEX('2 Phases'!$P$7:$P$12,B31)-N(INDEX('2 Phases'!$H$7:$H$12,B31)))*D31),INDEX('2 Phases'!$N$7:$N$12,B31)*(IF(INDEX('2 Phases'!$E$7:$E$12,B31)="",INDEX('2 Phases'!$N$7:$N$12,B31),INDEX('2 Phases'!$E$7:$E$12,B31))/INDEX('2 Phases'!$N$7:$N$12,B31))^(D31/INDEX('2 Phases'!$D$7:$D$12,B31))),""))</f>
        <v/>
      </c>
      <c r="F31" s="15" t="n">
        <f aca="false">IF(OR($B31="",C31&lt;&gt;"Fed-batch",D31=0),0,IFERROR(N(INDEX('3 Feed regimes'!$B$6:$E$35,D31,MATCH(INDEX('2 Phases'!$F$7:$F$12,B31),'3 Feed regimes'!$B$4:$E$4,0)))*'1 Setup'!$B$5/100,0))</f>
        <v>0</v>
      </c>
      <c r="G31" s="15" t="str">
        <f aca="false">IF($B31="","",G30+F31)</f>
        <v/>
      </c>
      <c r="H31" s="14" t="str">
        <f aca="false">IF($B31="","",(E30+E31)/2)</f>
        <v/>
      </c>
      <c r="I31" s="15" t="str">
        <f aca="false">IF($B31="","",IF(C31="Continuous",N(INDEX('2 Phases'!$G$7:$G$12,B31))*G30,0))</f>
        <v/>
      </c>
      <c r="J31" s="15" t="str">
        <f aca="false">IF($B31="","",IF(C31="Continuous",N(INDEX('2 Phases'!$H$7:$H$12,B31))*G30,0))</f>
        <v/>
      </c>
      <c r="K31" s="15" t="str">
        <f aca="false">IF($B31="","",I31-J31)</f>
        <v/>
      </c>
      <c r="L31" s="14" t="str">
        <f aca="false">IF($B31="","",J31*1000*H31)</f>
        <v/>
      </c>
      <c r="M31" s="15" t="str">
        <f aca="false">IF($B31="","",M30+F31+I31)</f>
        <v/>
      </c>
      <c r="N31" s="15" t="str">
        <f aca="false">IF($B31="","",N30+K31)</f>
        <v/>
      </c>
      <c r="O31" s="15" t="str">
        <f aca="false">IF($B31="","",O30+J31)</f>
        <v/>
      </c>
      <c r="P31" s="14" t="str">
        <f aca="false">IF($B31="","",P30+L31)</f>
        <v/>
      </c>
      <c r="Q31" s="18" t="str">
        <f aca="false">IF(OR($B31="",Q30="",'1 Setup'!$C$10=""),"",IF(AND($C31="Continuous",N(INDEX('2 Phases'!$G$7:$G$12,B31))&gt;0),IF('1 Setup'!$G$10="","",MAX(0,('1 Setup'!$G$10+('1 Setup'!$H$10*'1 Setup'!$C$10*0.00000024*$H31)/N(INDEX('2 Phases'!$G$7:$G$12,B31)))+(((Q30*($G30-$F30)+N('1 Setup'!$F$10)*$F30)/$G30)-('1 Setup'!$G$10+('1 Setup'!$H$10*'1 Setup'!$C$10*0.00000024*$H31)/N(INDEX('2 Phases'!$G$7:$G$12,B31))))*EXP(-N(INDEX('2 Phases'!$G$7:$G$12,B31))))),MAX(0,((Q30*($G30-$F30)+N('1 Setup'!$F$10)*$F30)/$G30)+('1 Setup'!$H$10*'1 Setup'!$C$10*0.00000024*$H31))))</f>
        <v/>
      </c>
      <c r="R31" s="18" t="str">
        <f aca="false">IF(OR($B31="",R30="",'1 Setup'!$C$11=""),"",IF(AND($C31="Continuous",N(INDEX('2 Phases'!$G$7:$G$12,B31))&gt;0),IF('1 Setup'!$G$11="","",MAX(0,('1 Setup'!$G$11+('1 Setup'!$H$11*'1 Setup'!$C$11*0.00000024*$H31)/N(INDEX('2 Phases'!$G$7:$G$12,B31)))+(((R30*($G30-$F30)+N('1 Setup'!$F$11)*$F30)/$G30)-('1 Setup'!$G$11+('1 Setup'!$H$11*'1 Setup'!$C$11*0.00000024*$H31)/N(INDEX('2 Phases'!$G$7:$G$12,B31))))*EXP(-N(INDEX('2 Phases'!$G$7:$G$12,B31))))),MAX(0,((R30*($G30-$F30)+N('1 Setup'!$F$11)*$F30)/$G30)+('1 Setup'!$H$11*'1 Setup'!$C$11*0.00000024*$H31))))</f>
        <v/>
      </c>
      <c r="S31" s="18" t="str">
        <f aca="false">IF(OR($B31="",S30="",'1 Setup'!$C$12=""),"",IF(AND($C31="Continuous",N(INDEX('2 Phases'!$G$7:$G$12,B31))&gt;0),IF('1 Setup'!$G$12="","",MAX(0,('1 Setup'!$G$12+('1 Setup'!$H$12*'1 Setup'!$C$12*0.00000024*$H31)/N(INDEX('2 Phases'!$G$7:$G$12,B31)))+(((S30*($G30-$F30)+N('1 Setup'!$F$12)*$F30)/$G30)-('1 Setup'!$G$12+('1 Setup'!$H$12*'1 Setup'!$C$12*0.00000024*$H31)/N(INDEX('2 Phases'!$G$7:$G$12,B31))))*EXP(-N(INDEX('2 Phases'!$G$7:$G$12,B31))))),MAX(0,((S30*($G30-$F30)+N('1 Setup'!$F$12)*$F30)/$G30)+('1 Setup'!$H$12*'1 Setup'!$C$12*0.00000024*$H31))))</f>
        <v/>
      </c>
      <c r="T31" s="18" t="str">
        <f aca="false">IF(OR($B31="",T30="",'1 Setup'!$C$13=""),"",IF(AND($C31="Continuous",N(INDEX('2 Phases'!$G$7:$G$12,B31))&gt;0),IF('1 Setup'!$G$13="","",MAX(0,('1 Setup'!$G$13+('1 Setup'!$H$13*'1 Setup'!$C$13*0.00000024*$H31)/N(INDEX('2 Phases'!$G$7:$G$12,B31)))+(((T30*($G30-$F30)+N('1 Setup'!$F$13)*$F30)/$G30)-('1 Setup'!$G$13+('1 Setup'!$H$13*'1 Setup'!$C$13*0.00000024*$H31)/N(INDEX('2 Phases'!$G$7:$G$12,B31))))*EXP(-N(INDEX('2 Phases'!$G$7:$G$12,B31))))),MAX(0,((T30*($G30-$F30)+N('1 Setup'!$F$13)*$F30)/$G30)+('1 Setup'!$H$13*'1 Setup'!$C$13*0.00000024*$H31))))</f>
        <v/>
      </c>
      <c r="U31" s="18" t="str">
        <f aca="false">IF(OR($B31="",U30="",'1 Setup'!$C$14=""),"",IF(AND($C31="Continuous",N(INDEX('2 Phases'!$G$7:$G$12,B31))&gt;0),IF('1 Setup'!$G$14="","",MAX(0,('1 Setup'!$G$14+('1 Setup'!$H$14*'1 Setup'!$C$14*0.00000024*$H31)/N(INDEX('2 Phases'!$G$7:$G$12,B31)))+(((U30*($G30-$F30)+N('1 Setup'!$F$14)*$F30)/$G30)-('1 Setup'!$G$14+('1 Setup'!$H$14*'1 Setup'!$C$14*0.00000024*$H31)/N(INDEX('2 Phases'!$G$7:$G$12,B31))))*EXP(-N(INDEX('2 Phases'!$G$7:$G$12,B31))))),MAX(0,((U30*($G30-$F30)+N('1 Setup'!$F$14)*$F30)/$G30)+('1 Setup'!$H$14*'1 Setup'!$C$14*0.00000024*$H31))))</f>
        <v/>
      </c>
      <c r="V31" s="18" t="str">
        <f aca="false">IF($B31="","",E31/1000000*'1 Setup'!$B$7)</f>
        <v/>
      </c>
      <c r="W31" s="18" t="str">
        <f aca="false">IF($B31="","",V31*G31)</f>
        <v/>
      </c>
      <c r="X31" s="18" t="str">
        <f aca="false">IF($B31="","",P31*'1 Setup'!$B$7/1000000000)</f>
        <v/>
      </c>
      <c r="Y31" s="18" t="str">
        <f aca="false">IF($B31="","",L31*'1 Setup'!$B$7/1000000000)</f>
        <v/>
      </c>
    </row>
    <row r="32" customFormat="false" ht="15" hidden="false" customHeight="false" outlineLevel="0" collapsed="false">
      <c r="A32" s="7" t="n">
        <v>26</v>
      </c>
      <c r="B32" s="7" t="str">
        <f aca="false">IF(A32&gt;'2 Phases'!$D$4,"",IF(A32=0,1,COUNTIF('2 Phases'!$M$7:$M$12,"&lt;"&amp;A32)+1))</f>
        <v/>
      </c>
      <c r="C32" s="7" t="str">
        <f aca="false">IF($B32="","",INDEX('2 Phases'!$C$7:$C$12,B32))</f>
        <v/>
      </c>
      <c r="D32" s="7" t="str">
        <f aca="false">IF($B32="","",A32-INDEX('2 Phases'!$L$7:$L$12,B32))</f>
        <v/>
      </c>
      <c r="E32" s="14" t="str">
        <f aca="false">IF($B32="","",IFERROR(IF(C32="Continuous",INDEX('2 Phases'!$N$7:$N$12,B32)*EXP((INDEX('2 Phases'!$P$7:$P$12,B32)-N(INDEX('2 Phases'!$H$7:$H$12,B32)))*D32),INDEX('2 Phases'!$N$7:$N$12,B32)*(IF(INDEX('2 Phases'!$E$7:$E$12,B32)="",INDEX('2 Phases'!$N$7:$N$12,B32),INDEX('2 Phases'!$E$7:$E$12,B32))/INDEX('2 Phases'!$N$7:$N$12,B32))^(D32/INDEX('2 Phases'!$D$7:$D$12,B32))),""))</f>
        <v/>
      </c>
      <c r="F32" s="15" t="n">
        <f aca="false">IF(OR($B32="",C32&lt;&gt;"Fed-batch",D32=0),0,IFERROR(N(INDEX('3 Feed regimes'!$B$6:$E$35,D32,MATCH(INDEX('2 Phases'!$F$7:$F$12,B32),'3 Feed regimes'!$B$4:$E$4,0)))*'1 Setup'!$B$5/100,0))</f>
        <v>0</v>
      </c>
      <c r="G32" s="15" t="str">
        <f aca="false">IF($B32="","",G31+F32)</f>
        <v/>
      </c>
      <c r="H32" s="14" t="str">
        <f aca="false">IF($B32="","",(E31+E32)/2)</f>
        <v/>
      </c>
      <c r="I32" s="15" t="str">
        <f aca="false">IF($B32="","",IF(C32="Continuous",N(INDEX('2 Phases'!$G$7:$G$12,B32))*G31,0))</f>
        <v/>
      </c>
      <c r="J32" s="15" t="str">
        <f aca="false">IF($B32="","",IF(C32="Continuous",N(INDEX('2 Phases'!$H$7:$H$12,B32))*G31,0))</f>
        <v/>
      </c>
      <c r="K32" s="15" t="str">
        <f aca="false">IF($B32="","",I32-J32)</f>
        <v/>
      </c>
      <c r="L32" s="14" t="str">
        <f aca="false">IF($B32="","",J32*1000*H32)</f>
        <v/>
      </c>
      <c r="M32" s="15" t="str">
        <f aca="false">IF($B32="","",M31+F32+I32)</f>
        <v/>
      </c>
      <c r="N32" s="15" t="str">
        <f aca="false">IF($B32="","",N31+K32)</f>
        <v/>
      </c>
      <c r="O32" s="15" t="str">
        <f aca="false">IF($B32="","",O31+J32)</f>
        <v/>
      </c>
      <c r="P32" s="14" t="str">
        <f aca="false">IF($B32="","",P31+L32)</f>
        <v/>
      </c>
      <c r="Q32" s="18" t="str">
        <f aca="false">IF(OR($B32="",Q31="",'1 Setup'!$C$10=""),"",IF(AND($C32="Continuous",N(INDEX('2 Phases'!$G$7:$G$12,B32))&gt;0),IF('1 Setup'!$G$10="","",MAX(0,('1 Setup'!$G$10+('1 Setup'!$H$10*'1 Setup'!$C$10*0.00000024*$H32)/N(INDEX('2 Phases'!$G$7:$G$12,B32)))+(((Q31*($G31-$F31)+N('1 Setup'!$F$10)*$F31)/$G31)-('1 Setup'!$G$10+('1 Setup'!$H$10*'1 Setup'!$C$10*0.00000024*$H32)/N(INDEX('2 Phases'!$G$7:$G$12,B32))))*EXP(-N(INDEX('2 Phases'!$G$7:$G$12,B32))))),MAX(0,((Q31*($G31-$F31)+N('1 Setup'!$F$10)*$F31)/$G31)+('1 Setup'!$H$10*'1 Setup'!$C$10*0.00000024*$H32))))</f>
        <v/>
      </c>
      <c r="R32" s="18" t="str">
        <f aca="false">IF(OR($B32="",R31="",'1 Setup'!$C$11=""),"",IF(AND($C32="Continuous",N(INDEX('2 Phases'!$G$7:$G$12,B32))&gt;0),IF('1 Setup'!$G$11="","",MAX(0,('1 Setup'!$G$11+('1 Setup'!$H$11*'1 Setup'!$C$11*0.00000024*$H32)/N(INDEX('2 Phases'!$G$7:$G$12,B32)))+(((R31*($G31-$F31)+N('1 Setup'!$F$11)*$F31)/$G31)-('1 Setup'!$G$11+('1 Setup'!$H$11*'1 Setup'!$C$11*0.00000024*$H32)/N(INDEX('2 Phases'!$G$7:$G$12,B32))))*EXP(-N(INDEX('2 Phases'!$G$7:$G$12,B32))))),MAX(0,((R31*($G31-$F31)+N('1 Setup'!$F$11)*$F31)/$G31)+('1 Setup'!$H$11*'1 Setup'!$C$11*0.00000024*$H32))))</f>
        <v/>
      </c>
      <c r="S32" s="18" t="str">
        <f aca="false">IF(OR($B32="",S31="",'1 Setup'!$C$12=""),"",IF(AND($C32="Continuous",N(INDEX('2 Phases'!$G$7:$G$12,B32))&gt;0),IF('1 Setup'!$G$12="","",MAX(0,('1 Setup'!$G$12+('1 Setup'!$H$12*'1 Setup'!$C$12*0.00000024*$H32)/N(INDEX('2 Phases'!$G$7:$G$12,B32)))+(((S31*($G31-$F31)+N('1 Setup'!$F$12)*$F31)/$G31)-('1 Setup'!$G$12+('1 Setup'!$H$12*'1 Setup'!$C$12*0.00000024*$H32)/N(INDEX('2 Phases'!$G$7:$G$12,B32))))*EXP(-N(INDEX('2 Phases'!$G$7:$G$12,B32))))),MAX(0,((S31*($G31-$F31)+N('1 Setup'!$F$12)*$F31)/$G31)+('1 Setup'!$H$12*'1 Setup'!$C$12*0.00000024*$H32))))</f>
        <v/>
      </c>
      <c r="T32" s="18" t="str">
        <f aca="false">IF(OR($B32="",T31="",'1 Setup'!$C$13=""),"",IF(AND($C32="Continuous",N(INDEX('2 Phases'!$G$7:$G$12,B32))&gt;0),IF('1 Setup'!$G$13="","",MAX(0,('1 Setup'!$G$13+('1 Setup'!$H$13*'1 Setup'!$C$13*0.00000024*$H32)/N(INDEX('2 Phases'!$G$7:$G$12,B32)))+(((T31*($G31-$F31)+N('1 Setup'!$F$13)*$F31)/$G31)-('1 Setup'!$G$13+('1 Setup'!$H$13*'1 Setup'!$C$13*0.00000024*$H32)/N(INDEX('2 Phases'!$G$7:$G$12,B32))))*EXP(-N(INDEX('2 Phases'!$G$7:$G$12,B32))))),MAX(0,((T31*($G31-$F31)+N('1 Setup'!$F$13)*$F31)/$G31)+('1 Setup'!$H$13*'1 Setup'!$C$13*0.00000024*$H32))))</f>
        <v/>
      </c>
      <c r="U32" s="18" t="str">
        <f aca="false">IF(OR($B32="",U31="",'1 Setup'!$C$14=""),"",IF(AND($C32="Continuous",N(INDEX('2 Phases'!$G$7:$G$12,B32))&gt;0),IF('1 Setup'!$G$14="","",MAX(0,('1 Setup'!$G$14+('1 Setup'!$H$14*'1 Setup'!$C$14*0.00000024*$H32)/N(INDEX('2 Phases'!$G$7:$G$12,B32)))+(((U31*($G31-$F31)+N('1 Setup'!$F$14)*$F31)/$G31)-('1 Setup'!$G$14+('1 Setup'!$H$14*'1 Setup'!$C$14*0.00000024*$H32)/N(INDEX('2 Phases'!$G$7:$G$12,B32))))*EXP(-N(INDEX('2 Phases'!$G$7:$G$12,B32))))),MAX(0,((U31*($G31-$F31)+N('1 Setup'!$F$14)*$F31)/$G31)+('1 Setup'!$H$14*'1 Setup'!$C$14*0.00000024*$H32))))</f>
        <v/>
      </c>
      <c r="V32" s="18" t="str">
        <f aca="false">IF($B32="","",E32/1000000*'1 Setup'!$B$7)</f>
        <v/>
      </c>
      <c r="W32" s="18" t="str">
        <f aca="false">IF($B32="","",V32*G32)</f>
        <v/>
      </c>
      <c r="X32" s="18" t="str">
        <f aca="false">IF($B32="","",P32*'1 Setup'!$B$7/1000000000)</f>
        <v/>
      </c>
      <c r="Y32" s="18" t="str">
        <f aca="false">IF($B32="","",L32*'1 Setup'!$B$7/1000000000)</f>
        <v/>
      </c>
    </row>
    <row r="33" customFormat="false" ht="15" hidden="false" customHeight="false" outlineLevel="0" collapsed="false">
      <c r="A33" s="7" t="n">
        <v>27</v>
      </c>
      <c r="B33" s="7" t="str">
        <f aca="false">IF(A33&gt;'2 Phases'!$D$4,"",IF(A33=0,1,COUNTIF('2 Phases'!$M$7:$M$12,"&lt;"&amp;A33)+1))</f>
        <v/>
      </c>
      <c r="C33" s="7" t="str">
        <f aca="false">IF($B33="","",INDEX('2 Phases'!$C$7:$C$12,B33))</f>
        <v/>
      </c>
      <c r="D33" s="7" t="str">
        <f aca="false">IF($B33="","",A33-INDEX('2 Phases'!$L$7:$L$12,B33))</f>
        <v/>
      </c>
      <c r="E33" s="14" t="str">
        <f aca="false">IF($B33="","",IFERROR(IF(C33="Continuous",INDEX('2 Phases'!$N$7:$N$12,B33)*EXP((INDEX('2 Phases'!$P$7:$P$12,B33)-N(INDEX('2 Phases'!$H$7:$H$12,B33)))*D33),INDEX('2 Phases'!$N$7:$N$12,B33)*(IF(INDEX('2 Phases'!$E$7:$E$12,B33)="",INDEX('2 Phases'!$N$7:$N$12,B33),INDEX('2 Phases'!$E$7:$E$12,B33))/INDEX('2 Phases'!$N$7:$N$12,B33))^(D33/INDEX('2 Phases'!$D$7:$D$12,B33))),""))</f>
        <v/>
      </c>
      <c r="F33" s="15" t="n">
        <f aca="false">IF(OR($B33="",C33&lt;&gt;"Fed-batch",D33=0),0,IFERROR(N(INDEX('3 Feed regimes'!$B$6:$E$35,D33,MATCH(INDEX('2 Phases'!$F$7:$F$12,B33),'3 Feed regimes'!$B$4:$E$4,0)))*'1 Setup'!$B$5/100,0))</f>
        <v>0</v>
      </c>
      <c r="G33" s="15" t="str">
        <f aca="false">IF($B33="","",G32+F33)</f>
        <v/>
      </c>
      <c r="H33" s="14" t="str">
        <f aca="false">IF($B33="","",(E32+E33)/2)</f>
        <v/>
      </c>
      <c r="I33" s="15" t="str">
        <f aca="false">IF($B33="","",IF(C33="Continuous",N(INDEX('2 Phases'!$G$7:$G$12,B33))*G32,0))</f>
        <v/>
      </c>
      <c r="J33" s="15" t="str">
        <f aca="false">IF($B33="","",IF(C33="Continuous",N(INDEX('2 Phases'!$H$7:$H$12,B33))*G32,0))</f>
        <v/>
      </c>
      <c r="K33" s="15" t="str">
        <f aca="false">IF($B33="","",I33-J33)</f>
        <v/>
      </c>
      <c r="L33" s="14" t="str">
        <f aca="false">IF($B33="","",J33*1000*H33)</f>
        <v/>
      </c>
      <c r="M33" s="15" t="str">
        <f aca="false">IF($B33="","",M32+F33+I33)</f>
        <v/>
      </c>
      <c r="N33" s="15" t="str">
        <f aca="false">IF($B33="","",N32+K33)</f>
        <v/>
      </c>
      <c r="O33" s="15" t="str">
        <f aca="false">IF($B33="","",O32+J33)</f>
        <v/>
      </c>
      <c r="P33" s="14" t="str">
        <f aca="false">IF($B33="","",P32+L33)</f>
        <v/>
      </c>
      <c r="Q33" s="18" t="str">
        <f aca="false">IF(OR($B33="",Q32="",'1 Setup'!$C$10=""),"",IF(AND($C33="Continuous",N(INDEX('2 Phases'!$G$7:$G$12,B33))&gt;0),IF('1 Setup'!$G$10="","",MAX(0,('1 Setup'!$G$10+('1 Setup'!$H$10*'1 Setup'!$C$10*0.00000024*$H33)/N(INDEX('2 Phases'!$G$7:$G$12,B33)))+(((Q32*($G32-$F32)+N('1 Setup'!$F$10)*$F32)/$G32)-('1 Setup'!$G$10+('1 Setup'!$H$10*'1 Setup'!$C$10*0.00000024*$H33)/N(INDEX('2 Phases'!$G$7:$G$12,B33))))*EXP(-N(INDEX('2 Phases'!$G$7:$G$12,B33))))),MAX(0,((Q32*($G32-$F32)+N('1 Setup'!$F$10)*$F32)/$G32)+('1 Setup'!$H$10*'1 Setup'!$C$10*0.00000024*$H33))))</f>
        <v/>
      </c>
      <c r="R33" s="18" t="str">
        <f aca="false">IF(OR($B33="",R32="",'1 Setup'!$C$11=""),"",IF(AND($C33="Continuous",N(INDEX('2 Phases'!$G$7:$G$12,B33))&gt;0),IF('1 Setup'!$G$11="","",MAX(0,('1 Setup'!$G$11+('1 Setup'!$H$11*'1 Setup'!$C$11*0.00000024*$H33)/N(INDEX('2 Phases'!$G$7:$G$12,B33)))+(((R32*($G32-$F32)+N('1 Setup'!$F$11)*$F32)/$G32)-('1 Setup'!$G$11+('1 Setup'!$H$11*'1 Setup'!$C$11*0.00000024*$H33)/N(INDEX('2 Phases'!$G$7:$G$12,B33))))*EXP(-N(INDEX('2 Phases'!$G$7:$G$12,B33))))),MAX(0,((R32*($G32-$F32)+N('1 Setup'!$F$11)*$F32)/$G32)+('1 Setup'!$H$11*'1 Setup'!$C$11*0.00000024*$H33))))</f>
        <v/>
      </c>
      <c r="S33" s="18" t="str">
        <f aca="false">IF(OR($B33="",S32="",'1 Setup'!$C$12=""),"",IF(AND($C33="Continuous",N(INDEX('2 Phases'!$G$7:$G$12,B33))&gt;0),IF('1 Setup'!$G$12="","",MAX(0,('1 Setup'!$G$12+('1 Setup'!$H$12*'1 Setup'!$C$12*0.00000024*$H33)/N(INDEX('2 Phases'!$G$7:$G$12,B33)))+(((S32*($G32-$F32)+N('1 Setup'!$F$12)*$F32)/$G32)-('1 Setup'!$G$12+('1 Setup'!$H$12*'1 Setup'!$C$12*0.00000024*$H33)/N(INDEX('2 Phases'!$G$7:$G$12,B33))))*EXP(-N(INDEX('2 Phases'!$G$7:$G$12,B33))))),MAX(0,((S32*($G32-$F32)+N('1 Setup'!$F$12)*$F32)/$G32)+('1 Setup'!$H$12*'1 Setup'!$C$12*0.00000024*$H33))))</f>
        <v/>
      </c>
      <c r="T33" s="18" t="str">
        <f aca="false">IF(OR($B33="",T32="",'1 Setup'!$C$13=""),"",IF(AND($C33="Continuous",N(INDEX('2 Phases'!$G$7:$G$12,B33))&gt;0),IF('1 Setup'!$G$13="","",MAX(0,('1 Setup'!$G$13+('1 Setup'!$H$13*'1 Setup'!$C$13*0.00000024*$H33)/N(INDEX('2 Phases'!$G$7:$G$12,B33)))+(((T32*($G32-$F32)+N('1 Setup'!$F$13)*$F32)/$G32)-('1 Setup'!$G$13+('1 Setup'!$H$13*'1 Setup'!$C$13*0.00000024*$H33)/N(INDEX('2 Phases'!$G$7:$G$12,B33))))*EXP(-N(INDEX('2 Phases'!$G$7:$G$12,B33))))),MAX(0,((T32*($G32-$F32)+N('1 Setup'!$F$13)*$F32)/$G32)+('1 Setup'!$H$13*'1 Setup'!$C$13*0.00000024*$H33))))</f>
        <v/>
      </c>
      <c r="U33" s="18" t="str">
        <f aca="false">IF(OR($B33="",U32="",'1 Setup'!$C$14=""),"",IF(AND($C33="Continuous",N(INDEX('2 Phases'!$G$7:$G$12,B33))&gt;0),IF('1 Setup'!$G$14="","",MAX(0,('1 Setup'!$G$14+('1 Setup'!$H$14*'1 Setup'!$C$14*0.00000024*$H33)/N(INDEX('2 Phases'!$G$7:$G$12,B33)))+(((U32*($G32-$F32)+N('1 Setup'!$F$14)*$F32)/$G32)-('1 Setup'!$G$14+('1 Setup'!$H$14*'1 Setup'!$C$14*0.00000024*$H33)/N(INDEX('2 Phases'!$G$7:$G$12,B33))))*EXP(-N(INDEX('2 Phases'!$G$7:$G$12,B33))))),MAX(0,((U32*($G32-$F32)+N('1 Setup'!$F$14)*$F32)/$G32)+('1 Setup'!$H$14*'1 Setup'!$C$14*0.00000024*$H33))))</f>
        <v/>
      </c>
      <c r="V33" s="18" t="str">
        <f aca="false">IF($B33="","",E33/1000000*'1 Setup'!$B$7)</f>
        <v/>
      </c>
      <c r="W33" s="18" t="str">
        <f aca="false">IF($B33="","",V33*G33)</f>
        <v/>
      </c>
      <c r="X33" s="18" t="str">
        <f aca="false">IF($B33="","",P33*'1 Setup'!$B$7/1000000000)</f>
        <v/>
      </c>
      <c r="Y33" s="18" t="str">
        <f aca="false">IF($B33="","",L33*'1 Setup'!$B$7/1000000000)</f>
        <v/>
      </c>
    </row>
    <row r="34" customFormat="false" ht="15" hidden="false" customHeight="false" outlineLevel="0" collapsed="false">
      <c r="A34" s="7" t="n">
        <v>28</v>
      </c>
      <c r="B34" s="7" t="str">
        <f aca="false">IF(A34&gt;'2 Phases'!$D$4,"",IF(A34=0,1,COUNTIF('2 Phases'!$M$7:$M$12,"&lt;"&amp;A34)+1))</f>
        <v/>
      </c>
      <c r="C34" s="7" t="str">
        <f aca="false">IF($B34="","",INDEX('2 Phases'!$C$7:$C$12,B34))</f>
        <v/>
      </c>
      <c r="D34" s="7" t="str">
        <f aca="false">IF($B34="","",A34-INDEX('2 Phases'!$L$7:$L$12,B34))</f>
        <v/>
      </c>
      <c r="E34" s="14" t="str">
        <f aca="false">IF($B34="","",IFERROR(IF(C34="Continuous",INDEX('2 Phases'!$N$7:$N$12,B34)*EXP((INDEX('2 Phases'!$P$7:$P$12,B34)-N(INDEX('2 Phases'!$H$7:$H$12,B34)))*D34),INDEX('2 Phases'!$N$7:$N$12,B34)*(IF(INDEX('2 Phases'!$E$7:$E$12,B34)="",INDEX('2 Phases'!$N$7:$N$12,B34),INDEX('2 Phases'!$E$7:$E$12,B34))/INDEX('2 Phases'!$N$7:$N$12,B34))^(D34/INDEX('2 Phases'!$D$7:$D$12,B34))),""))</f>
        <v/>
      </c>
      <c r="F34" s="15" t="n">
        <f aca="false">IF(OR($B34="",C34&lt;&gt;"Fed-batch",D34=0),0,IFERROR(N(INDEX('3 Feed regimes'!$B$6:$E$35,D34,MATCH(INDEX('2 Phases'!$F$7:$F$12,B34),'3 Feed regimes'!$B$4:$E$4,0)))*'1 Setup'!$B$5/100,0))</f>
        <v>0</v>
      </c>
      <c r="G34" s="15" t="str">
        <f aca="false">IF($B34="","",G33+F34)</f>
        <v/>
      </c>
      <c r="H34" s="14" t="str">
        <f aca="false">IF($B34="","",(E33+E34)/2)</f>
        <v/>
      </c>
      <c r="I34" s="15" t="str">
        <f aca="false">IF($B34="","",IF(C34="Continuous",N(INDEX('2 Phases'!$G$7:$G$12,B34))*G33,0))</f>
        <v/>
      </c>
      <c r="J34" s="15" t="str">
        <f aca="false">IF($B34="","",IF(C34="Continuous",N(INDEX('2 Phases'!$H$7:$H$12,B34))*G33,0))</f>
        <v/>
      </c>
      <c r="K34" s="15" t="str">
        <f aca="false">IF($B34="","",I34-J34)</f>
        <v/>
      </c>
      <c r="L34" s="14" t="str">
        <f aca="false">IF($B34="","",J34*1000*H34)</f>
        <v/>
      </c>
      <c r="M34" s="15" t="str">
        <f aca="false">IF($B34="","",M33+F34+I34)</f>
        <v/>
      </c>
      <c r="N34" s="15" t="str">
        <f aca="false">IF($B34="","",N33+K34)</f>
        <v/>
      </c>
      <c r="O34" s="15" t="str">
        <f aca="false">IF($B34="","",O33+J34)</f>
        <v/>
      </c>
      <c r="P34" s="14" t="str">
        <f aca="false">IF($B34="","",P33+L34)</f>
        <v/>
      </c>
      <c r="Q34" s="18" t="str">
        <f aca="false">IF(OR($B34="",Q33="",'1 Setup'!$C$10=""),"",IF(AND($C34="Continuous",N(INDEX('2 Phases'!$G$7:$G$12,B34))&gt;0),IF('1 Setup'!$G$10="","",MAX(0,('1 Setup'!$G$10+('1 Setup'!$H$10*'1 Setup'!$C$10*0.00000024*$H34)/N(INDEX('2 Phases'!$G$7:$G$12,B34)))+(((Q33*($G33-$F33)+N('1 Setup'!$F$10)*$F33)/$G33)-('1 Setup'!$G$10+('1 Setup'!$H$10*'1 Setup'!$C$10*0.00000024*$H34)/N(INDEX('2 Phases'!$G$7:$G$12,B34))))*EXP(-N(INDEX('2 Phases'!$G$7:$G$12,B34))))),MAX(0,((Q33*($G33-$F33)+N('1 Setup'!$F$10)*$F33)/$G33)+('1 Setup'!$H$10*'1 Setup'!$C$10*0.00000024*$H34))))</f>
        <v/>
      </c>
      <c r="R34" s="18" t="str">
        <f aca="false">IF(OR($B34="",R33="",'1 Setup'!$C$11=""),"",IF(AND($C34="Continuous",N(INDEX('2 Phases'!$G$7:$G$12,B34))&gt;0),IF('1 Setup'!$G$11="","",MAX(0,('1 Setup'!$G$11+('1 Setup'!$H$11*'1 Setup'!$C$11*0.00000024*$H34)/N(INDEX('2 Phases'!$G$7:$G$12,B34)))+(((R33*($G33-$F33)+N('1 Setup'!$F$11)*$F33)/$G33)-('1 Setup'!$G$11+('1 Setup'!$H$11*'1 Setup'!$C$11*0.00000024*$H34)/N(INDEX('2 Phases'!$G$7:$G$12,B34))))*EXP(-N(INDEX('2 Phases'!$G$7:$G$12,B34))))),MAX(0,((R33*($G33-$F33)+N('1 Setup'!$F$11)*$F33)/$G33)+('1 Setup'!$H$11*'1 Setup'!$C$11*0.00000024*$H34))))</f>
        <v/>
      </c>
      <c r="S34" s="18" t="str">
        <f aca="false">IF(OR($B34="",S33="",'1 Setup'!$C$12=""),"",IF(AND($C34="Continuous",N(INDEX('2 Phases'!$G$7:$G$12,B34))&gt;0),IF('1 Setup'!$G$12="","",MAX(0,('1 Setup'!$G$12+('1 Setup'!$H$12*'1 Setup'!$C$12*0.00000024*$H34)/N(INDEX('2 Phases'!$G$7:$G$12,B34)))+(((S33*($G33-$F33)+N('1 Setup'!$F$12)*$F33)/$G33)-('1 Setup'!$G$12+('1 Setup'!$H$12*'1 Setup'!$C$12*0.00000024*$H34)/N(INDEX('2 Phases'!$G$7:$G$12,B34))))*EXP(-N(INDEX('2 Phases'!$G$7:$G$12,B34))))),MAX(0,((S33*($G33-$F33)+N('1 Setup'!$F$12)*$F33)/$G33)+('1 Setup'!$H$12*'1 Setup'!$C$12*0.00000024*$H34))))</f>
        <v/>
      </c>
      <c r="T34" s="18" t="str">
        <f aca="false">IF(OR($B34="",T33="",'1 Setup'!$C$13=""),"",IF(AND($C34="Continuous",N(INDEX('2 Phases'!$G$7:$G$12,B34))&gt;0),IF('1 Setup'!$G$13="","",MAX(0,('1 Setup'!$G$13+('1 Setup'!$H$13*'1 Setup'!$C$13*0.00000024*$H34)/N(INDEX('2 Phases'!$G$7:$G$12,B34)))+(((T33*($G33-$F33)+N('1 Setup'!$F$13)*$F33)/$G33)-('1 Setup'!$G$13+('1 Setup'!$H$13*'1 Setup'!$C$13*0.00000024*$H34)/N(INDEX('2 Phases'!$G$7:$G$12,B34))))*EXP(-N(INDEX('2 Phases'!$G$7:$G$12,B34))))),MAX(0,((T33*($G33-$F33)+N('1 Setup'!$F$13)*$F33)/$G33)+('1 Setup'!$H$13*'1 Setup'!$C$13*0.00000024*$H34))))</f>
        <v/>
      </c>
      <c r="U34" s="18" t="str">
        <f aca="false">IF(OR($B34="",U33="",'1 Setup'!$C$14=""),"",IF(AND($C34="Continuous",N(INDEX('2 Phases'!$G$7:$G$12,B34))&gt;0),IF('1 Setup'!$G$14="","",MAX(0,('1 Setup'!$G$14+('1 Setup'!$H$14*'1 Setup'!$C$14*0.00000024*$H34)/N(INDEX('2 Phases'!$G$7:$G$12,B34)))+(((U33*($G33-$F33)+N('1 Setup'!$F$14)*$F33)/$G33)-('1 Setup'!$G$14+('1 Setup'!$H$14*'1 Setup'!$C$14*0.00000024*$H34)/N(INDEX('2 Phases'!$G$7:$G$12,B34))))*EXP(-N(INDEX('2 Phases'!$G$7:$G$12,B34))))),MAX(0,((U33*($G33-$F33)+N('1 Setup'!$F$14)*$F33)/$G33)+('1 Setup'!$H$14*'1 Setup'!$C$14*0.00000024*$H34))))</f>
        <v/>
      </c>
      <c r="V34" s="18" t="str">
        <f aca="false">IF($B34="","",E34/1000000*'1 Setup'!$B$7)</f>
        <v/>
      </c>
      <c r="W34" s="18" t="str">
        <f aca="false">IF($B34="","",V34*G34)</f>
        <v/>
      </c>
      <c r="X34" s="18" t="str">
        <f aca="false">IF($B34="","",P34*'1 Setup'!$B$7/1000000000)</f>
        <v/>
      </c>
      <c r="Y34" s="18" t="str">
        <f aca="false">IF($B34="","",L34*'1 Setup'!$B$7/1000000000)</f>
        <v/>
      </c>
    </row>
    <row r="35" customFormat="false" ht="15" hidden="false" customHeight="false" outlineLevel="0" collapsed="false">
      <c r="A35" s="7" t="n">
        <v>29</v>
      </c>
      <c r="B35" s="7" t="str">
        <f aca="false">IF(A35&gt;'2 Phases'!$D$4,"",IF(A35=0,1,COUNTIF('2 Phases'!$M$7:$M$12,"&lt;"&amp;A35)+1))</f>
        <v/>
      </c>
      <c r="C35" s="7" t="str">
        <f aca="false">IF($B35="","",INDEX('2 Phases'!$C$7:$C$12,B35))</f>
        <v/>
      </c>
      <c r="D35" s="7" t="str">
        <f aca="false">IF($B35="","",A35-INDEX('2 Phases'!$L$7:$L$12,B35))</f>
        <v/>
      </c>
      <c r="E35" s="14" t="str">
        <f aca="false">IF($B35="","",IFERROR(IF(C35="Continuous",INDEX('2 Phases'!$N$7:$N$12,B35)*EXP((INDEX('2 Phases'!$P$7:$P$12,B35)-N(INDEX('2 Phases'!$H$7:$H$12,B35)))*D35),INDEX('2 Phases'!$N$7:$N$12,B35)*(IF(INDEX('2 Phases'!$E$7:$E$12,B35)="",INDEX('2 Phases'!$N$7:$N$12,B35),INDEX('2 Phases'!$E$7:$E$12,B35))/INDEX('2 Phases'!$N$7:$N$12,B35))^(D35/INDEX('2 Phases'!$D$7:$D$12,B35))),""))</f>
        <v/>
      </c>
      <c r="F35" s="15" t="n">
        <f aca="false">IF(OR($B35="",C35&lt;&gt;"Fed-batch",D35=0),0,IFERROR(N(INDEX('3 Feed regimes'!$B$6:$E$35,D35,MATCH(INDEX('2 Phases'!$F$7:$F$12,B35),'3 Feed regimes'!$B$4:$E$4,0)))*'1 Setup'!$B$5/100,0))</f>
        <v>0</v>
      </c>
      <c r="G35" s="15" t="str">
        <f aca="false">IF($B35="","",G34+F35)</f>
        <v/>
      </c>
      <c r="H35" s="14" t="str">
        <f aca="false">IF($B35="","",(E34+E35)/2)</f>
        <v/>
      </c>
      <c r="I35" s="15" t="str">
        <f aca="false">IF($B35="","",IF(C35="Continuous",N(INDEX('2 Phases'!$G$7:$G$12,B35))*G34,0))</f>
        <v/>
      </c>
      <c r="J35" s="15" t="str">
        <f aca="false">IF($B35="","",IF(C35="Continuous",N(INDEX('2 Phases'!$H$7:$H$12,B35))*G34,0))</f>
        <v/>
      </c>
      <c r="K35" s="15" t="str">
        <f aca="false">IF($B35="","",I35-J35)</f>
        <v/>
      </c>
      <c r="L35" s="14" t="str">
        <f aca="false">IF($B35="","",J35*1000*H35)</f>
        <v/>
      </c>
      <c r="M35" s="15" t="str">
        <f aca="false">IF($B35="","",M34+F35+I35)</f>
        <v/>
      </c>
      <c r="N35" s="15" t="str">
        <f aca="false">IF($B35="","",N34+K35)</f>
        <v/>
      </c>
      <c r="O35" s="15" t="str">
        <f aca="false">IF($B35="","",O34+J35)</f>
        <v/>
      </c>
      <c r="P35" s="14" t="str">
        <f aca="false">IF($B35="","",P34+L35)</f>
        <v/>
      </c>
      <c r="Q35" s="18" t="str">
        <f aca="false">IF(OR($B35="",Q34="",'1 Setup'!$C$10=""),"",IF(AND($C35="Continuous",N(INDEX('2 Phases'!$G$7:$G$12,B35))&gt;0),IF('1 Setup'!$G$10="","",MAX(0,('1 Setup'!$G$10+('1 Setup'!$H$10*'1 Setup'!$C$10*0.00000024*$H35)/N(INDEX('2 Phases'!$G$7:$G$12,B35)))+(((Q34*($G34-$F34)+N('1 Setup'!$F$10)*$F34)/$G34)-('1 Setup'!$G$10+('1 Setup'!$H$10*'1 Setup'!$C$10*0.00000024*$H35)/N(INDEX('2 Phases'!$G$7:$G$12,B35))))*EXP(-N(INDEX('2 Phases'!$G$7:$G$12,B35))))),MAX(0,((Q34*($G34-$F34)+N('1 Setup'!$F$10)*$F34)/$G34)+('1 Setup'!$H$10*'1 Setup'!$C$10*0.00000024*$H35))))</f>
        <v/>
      </c>
      <c r="R35" s="18" t="str">
        <f aca="false">IF(OR($B35="",R34="",'1 Setup'!$C$11=""),"",IF(AND($C35="Continuous",N(INDEX('2 Phases'!$G$7:$G$12,B35))&gt;0),IF('1 Setup'!$G$11="","",MAX(0,('1 Setup'!$G$11+('1 Setup'!$H$11*'1 Setup'!$C$11*0.00000024*$H35)/N(INDEX('2 Phases'!$G$7:$G$12,B35)))+(((R34*($G34-$F34)+N('1 Setup'!$F$11)*$F34)/$G34)-('1 Setup'!$G$11+('1 Setup'!$H$11*'1 Setup'!$C$11*0.00000024*$H35)/N(INDEX('2 Phases'!$G$7:$G$12,B35))))*EXP(-N(INDEX('2 Phases'!$G$7:$G$12,B35))))),MAX(0,((R34*($G34-$F34)+N('1 Setup'!$F$11)*$F34)/$G34)+('1 Setup'!$H$11*'1 Setup'!$C$11*0.00000024*$H35))))</f>
        <v/>
      </c>
      <c r="S35" s="18" t="str">
        <f aca="false">IF(OR($B35="",S34="",'1 Setup'!$C$12=""),"",IF(AND($C35="Continuous",N(INDEX('2 Phases'!$G$7:$G$12,B35))&gt;0),IF('1 Setup'!$G$12="","",MAX(0,('1 Setup'!$G$12+('1 Setup'!$H$12*'1 Setup'!$C$12*0.00000024*$H35)/N(INDEX('2 Phases'!$G$7:$G$12,B35)))+(((S34*($G34-$F34)+N('1 Setup'!$F$12)*$F34)/$G34)-('1 Setup'!$G$12+('1 Setup'!$H$12*'1 Setup'!$C$12*0.00000024*$H35)/N(INDEX('2 Phases'!$G$7:$G$12,B35))))*EXP(-N(INDEX('2 Phases'!$G$7:$G$12,B35))))),MAX(0,((S34*($G34-$F34)+N('1 Setup'!$F$12)*$F34)/$G34)+('1 Setup'!$H$12*'1 Setup'!$C$12*0.00000024*$H35))))</f>
        <v/>
      </c>
      <c r="T35" s="18" t="str">
        <f aca="false">IF(OR($B35="",T34="",'1 Setup'!$C$13=""),"",IF(AND($C35="Continuous",N(INDEX('2 Phases'!$G$7:$G$12,B35))&gt;0),IF('1 Setup'!$G$13="","",MAX(0,('1 Setup'!$G$13+('1 Setup'!$H$13*'1 Setup'!$C$13*0.00000024*$H35)/N(INDEX('2 Phases'!$G$7:$G$12,B35)))+(((T34*($G34-$F34)+N('1 Setup'!$F$13)*$F34)/$G34)-('1 Setup'!$G$13+('1 Setup'!$H$13*'1 Setup'!$C$13*0.00000024*$H35)/N(INDEX('2 Phases'!$G$7:$G$12,B35))))*EXP(-N(INDEX('2 Phases'!$G$7:$G$12,B35))))),MAX(0,((T34*($G34-$F34)+N('1 Setup'!$F$13)*$F34)/$G34)+('1 Setup'!$H$13*'1 Setup'!$C$13*0.00000024*$H35))))</f>
        <v/>
      </c>
      <c r="U35" s="18" t="str">
        <f aca="false">IF(OR($B35="",U34="",'1 Setup'!$C$14=""),"",IF(AND($C35="Continuous",N(INDEX('2 Phases'!$G$7:$G$12,B35))&gt;0),IF('1 Setup'!$G$14="","",MAX(0,('1 Setup'!$G$14+('1 Setup'!$H$14*'1 Setup'!$C$14*0.00000024*$H35)/N(INDEX('2 Phases'!$G$7:$G$12,B35)))+(((U34*($G34-$F34)+N('1 Setup'!$F$14)*$F34)/$G34)-('1 Setup'!$G$14+('1 Setup'!$H$14*'1 Setup'!$C$14*0.00000024*$H35)/N(INDEX('2 Phases'!$G$7:$G$12,B35))))*EXP(-N(INDEX('2 Phases'!$G$7:$G$12,B35))))),MAX(0,((U34*($G34-$F34)+N('1 Setup'!$F$14)*$F34)/$G34)+('1 Setup'!$H$14*'1 Setup'!$C$14*0.00000024*$H35))))</f>
        <v/>
      </c>
      <c r="V35" s="18" t="str">
        <f aca="false">IF($B35="","",E35/1000000*'1 Setup'!$B$7)</f>
        <v/>
      </c>
      <c r="W35" s="18" t="str">
        <f aca="false">IF($B35="","",V35*G35)</f>
        <v/>
      </c>
      <c r="X35" s="18" t="str">
        <f aca="false">IF($B35="","",P35*'1 Setup'!$B$7/1000000000)</f>
        <v/>
      </c>
      <c r="Y35" s="18" t="str">
        <f aca="false">IF($B35="","",L35*'1 Setup'!$B$7/1000000000)</f>
        <v/>
      </c>
    </row>
    <row r="36" customFormat="false" ht="15" hidden="false" customHeight="false" outlineLevel="0" collapsed="false">
      <c r="A36" s="7" t="n">
        <v>30</v>
      </c>
      <c r="B36" s="7" t="str">
        <f aca="false">IF(A36&gt;'2 Phases'!$D$4,"",IF(A36=0,1,COUNTIF('2 Phases'!$M$7:$M$12,"&lt;"&amp;A36)+1))</f>
        <v/>
      </c>
      <c r="C36" s="7" t="str">
        <f aca="false">IF($B36="","",INDEX('2 Phases'!$C$7:$C$12,B36))</f>
        <v/>
      </c>
      <c r="D36" s="7" t="str">
        <f aca="false">IF($B36="","",A36-INDEX('2 Phases'!$L$7:$L$12,B36))</f>
        <v/>
      </c>
      <c r="E36" s="14" t="str">
        <f aca="false">IF($B36="","",IFERROR(IF(C36="Continuous",INDEX('2 Phases'!$N$7:$N$12,B36)*EXP((INDEX('2 Phases'!$P$7:$P$12,B36)-N(INDEX('2 Phases'!$H$7:$H$12,B36)))*D36),INDEX('2 Phases'!$N$7:$N$12,B36)*(IF(INDEX('2 Phases'!$E$7:$E$12,B36)="",INDEX('2 Phases'!$N$7:$N$12,B36),INDEX('2 Phases'!$E$7:$E$12,B36))/INDEX('2 Phases'!$N$7:$N$12,B36))^(D36/INDEX('2 Phases'!$D$7:$D$12,B36))),""))</f>
        <v/>
      </c>
      <c r="F36" s="15" t="n">
        <f aca="false">IF(OR($B36="",C36&lt;&gt;"Fed-batch",D36=0),0,IFERROR(N(INDEX('3 Feed regimes'!$B$6:$E$35,D36,MATCH(INDEX('2 Phases'!$F$7:$F$12,B36),'3 Feed regimes'!$B$4:$E$4,0)))*'1 Setup'!$B$5/100,0))</f>
        <v>0</v>
      </c>
      <c r="G36" s="15" t="str">
        <f aca="false">IF($B36="","",G35+F36)</f>
        <v/>
      </c>
      <c r="H36" s="14" t="str">
        <f aca="false">IF($B36="","",(E35+E36)/2)</f>
        <v/>
      </c>
      <c r="I36" s="15" t="str">
        <f aca="false">IF($B36="","",IF(C36="Continuous",N(INDEX('2 Phases'!$G$7:$G$12,B36))*G35,0))</f>
        <v/>
      </c>
      <c r="J36" s="15" t="str">
        <f aca="false">IF($B36="","",IF(C36="Continuous",N(INDEX('2 Phases'!$H$7:$H$12,B36))*G35,0))</f>
        <v/>
      </c>
      <c r="K36" s="15" t="str">
        <f aca="false">IF($B36="","",I36-J36)</f>
        <v/>
      </c>
      <c r="L36" s="14" t="str">
        <f aca="false">IF($B36="","",J36*1000*H36)</f>
        <v/>
      </c>
      <c r="M36" s="15" t="str">
        <f aca="false">IF($B36="","",M35+F36+I36)</f>
        <v/>
      </c>
      <c r="N36" s="15" t="str">
        <f aca="false">IF($B36="","",N35+K36)</f>
        <v/>
      </c>
      <c r="O36" s="15" t="str">
        <f aca="false">IF($B36="","",O35+J36)</f>
        <v/>
      </c>
      <c r="P36" s="14" t="str">
        <f aca="false">IF($B36="","",P35+L36)</f>
        <v/>
      </c>
      <c r="Q36" s="18" t="str">
        <f aca="false">IF(OR($B36="",Q35="",'1 Setup'!$C$10=""),"",IF(AND($C36="Continuous",N(INDEX('2 Phases'!$G$7:$G$12,B36))&gt;0),IF('1 Setup'!$G$10="","",MAX(0,('1 Setup'!$G$10+('1 Setup'!$H$10*'1 Setup'!$C$10*0.00000024*$H36)/N(INDEX('2 Phases'!$G$7:$G$12,B36)))+(((Q35*($G35-$F35)+N('1 Setup'!$F$10)*$F35)/$G35)-('1 Setup'!$G$10+('1 Setup'!$H$10*'1 Setup'!$C$10*0.00000024*$H36)/N(INDEX('2 Phases'!$G$7:$G$12,B36))))*EXP(-N(INDEX('2 Phases'!$G$7:$G$12,B36))))),MAX(0,((Q35*($G35-$F35)+N('1 Setup'!$F$10)*$F35)/$G35)+('1 Setup'!$H$10*'1 Setup'!$C$10*0.00000024*$H36))))</f>
        <v/>
      </c>
      <c r="R36" s="18" t="str">
        <f aca="false">IF(OR($B36="",R35="",'1 Setup'!$C$11=""),"",IF(AND($C36="Continuous",N(INDEX('2 Phases'!$G$7:$G$12,B36))&gt;0),IF('1 Setup'!$G$11="","",MAX(0,('1 Setup'!$G$11+('1 Setup'!$H$11*'1 Setup'!$C$11*0.00000024*$H36)/N(INDEX('2 Phases'!$G$7:$G$12,B36)))+(((R35*($G35-$F35)+N('1 Setup'!$F$11)*$F35)/$G35)-('1 Setup'!$G$11+('1 Setup'!$H$11*'1 Setup'!$C$11*0.00000024*$H36)/N(INDEX('2 Phases'!$G$7:$G$12,B36))))*EXP(-N(INDEX('2 Phases'!$G$7:$G$12,B36))))),MAX(0,((R35*($G35-$F35)+N('1 Setup'!$F$11)*$F35)/$G35)+('1 Setup'!$H$11*'1 Setup'!$C$11*0.00000024*$H36))))</f>
        <v/>
      </c>
      <c r="S36" s="18" t="str">
        <f aca="false">IF(OR($B36="",S35="",'1 Setup'!$C$12=""),"",IF(AND($C36="Continuous",N(INDEX('2 Phases'!$G$7:$G$12,B36))&gt;0),IF('1 Setup'!$G$12="","",MAX(0,('1 Setup'!$G$12+('1 Setup'!$H$12*'1 Setup'!$C$12*0.00000024*$H36)/N(INDEX('2 Phases'!$G$7:$G$12,B36)))+(((S35*($G35-$F35)+N('1 Setup'!$F$12)*$F35)/$G35)-('1 Setup'!$G$12+('1 Setup'!$H$12*'1 Setup'!$C$12*0.00000024*$H36)/N(INDEX('2 Phases'!$G$7:$G$12,B36))))*EXP(-N(INDEX('2 Phases'!$G$7:$G$12,B36))))),MAX(0,((S35*($G35-$F35)+N('1 Setup'!$F$12)*$F35)/$G35)+('1 Setup'!$H$12*'1 Setup'!$C$12*0.00000024*$H36))))</f>
        <v/>
      </c>
      <c r="T36" s="18" t="str">
        <f aca="false">IF(OR($B36="",T35="",'1 Setup'!$C$13=""),"",IF(AND($C36="Continuous",N(INDEX('2 Phases'!$G$7:$G$12,B36))&gt;0),IF('1 Setup'!$G$13="","",MAX(0,('1 Setup'!$G$13+('1 Setup'!$H$13*'1 Setup'!$C$13*0.00000024*$H36)/N(INDEX('2 Phases'!$G$7:$G$12,B36)))+(((T35*($G35-$F35)+N('1 Setup'!$F$13)*$F35)/$G35)-('1 Setup'!$G$13+('1 Setup'!$H$13*'1 Setup'!$C$13*0.00000024*$H36)/N(INDEX('2 Phases'!$G$7:$G$12,B36))))*EXP(-N(INDEX('2 Phases'!$G$7:$G$12,B36))))),MAX(0,((T35*($G35-$F35)+N('1 Setup'!$F$13)*$F35)/$G35)+('1 Setup'!$H$13*'1 Setup'!$C$13*0.00000024*$H36))))</f>
        <v/>
      </c>
      <c r="U36" s="18" t="str">
        <f aca="false">IF(OR($B36="",U35="",'1 Setup'!$C$14=""),"",IF(AND($C36="Continuous",N(INDEX('2 Phases'!$G$7:$G$12,B36))&gt;0),IF('1 Setup'!$G$14="","",MAX(0,('1 Setup'!$G$14+('1 Setup'!$H$14*'1 Setup'!$C$14*0.00000024*$H36)/N(INDEX('2 Phases'!$G$7:$G$12,B36)))+(((U35*($G35-$F35)+N('1 Setup'!$F$14)*$F35)/$G35)-('1 Setup'!$G$14+('1 Setup'!$H$14*'1 Setup'!$C$14*0.00000024*$H36)/N(INDEX('2 Phases'!$G$7:$G$12,B36))))*EXP(-N(INDEX('2 Phases'!$G$7:$G$12,B36))))),MAX(0,((U35*($G35-$F35)+N('1 Setup'!$F$14)*$F35)/$G35)+('1 Setup'!$H$14*'1 Setup'!$C$14*0.00000024*$H36))))</f>
        <v/>
      </c>
      <c r="V36" s="18" t="str">
        <f aca="false">IF($B36="","",E36/1000000*'1 Setup'!$B$7)</f>
        <v/>
      </c>
      <c r="W36" s="18" t="str">
        <f aca="false">IF($B36="","",V36*G36)</f>
        <v/>
      </c>
      <c r="X36" s="18" t="str">
        <f aca="false">IF($B36="","",P36*'1 Setup'!$B$7/1000000000)</f>
        <v/>
      </c>
      <c r="Y36" s="18" t="str">
        <f aca="false">IF($B36="","",L36*'1 Setup'!$B$7/1000000000)</f>
        <v/>
      </c>
    </row>
    <row r="37" customFormat="false" ht="15" hidden="false" customHeight="false" outlineLevel="0" collapsed="false">
      <c r="A37" s="7" t="n">
        <v>31</v>
      </c>
      <c r="B37" s="7" t="str">
        <f aca="false">IF(A37&gt;'2 Phases'!$D$4,"",IF(A37=0,1,COUNTIF('2 Phases'!$M$7:$M$12,"&lt;"&amp;A37)+1))</f>
        <v/>
      </c>
      <c r="C37" s="7" t="str">
        <f aca="false">IF($B37="","",INDEX('2 Phases'!$C$7:$C$12,B37))</f>
        <v/>
      </c>
      <c r="D37" s="7" t="str">
        <f aca="false">IF($B37="","",A37-INDEX('2 Phases'!$L$7:$L$12,B37))</f>
        <v/>
      </c>
      <c r="E37" s="14" t="str">
        <f aca="false">IF($B37="","",IFERROR(IF(C37="Continuous",INDEX('2 Phases'!$N$7:$N$12,B37)*EXP((INDEX('2 Phases'!$P$7:$P$12,B37)-N(INDEX('2 Phases'!$H$7:$H$12,B37)))*D37),INDEX('2 Phases'!$N$7:$N$12,B37)*(IF(INDEX('2 Phases'!$E$7:$E$12,B37)="",INDEX('2 Phases'!$N$7:$N$12,B37),INDEX('2 Phases'!$E$7:$E$12,B37))/INDEX('2 Phases'!$N$7:$N$12,B37))^(D37/INDEX('2 Phases'!$D$7:$D$12,B37))),""))</f>
        <v/>
      </c>
      <c r="F37" s="15" t="n">
        <f aca="false">IF(OR($B37="",C37&lt;&gt;"Fed-batch",D37=0),0,IFERROR(N(INDEX('3 Feed regimes'!$B$6:$E$35,D37,MATCH(INDEX('2 Phases'!$F$7:$F$12,B37),'3 Feed regimes'!$B$4:$E$4,0)))*'1 Setup'!$B$5/100,0))</f>
        <v>0</v>
      </c>
      <c r="G37" s="15" t="str">
        <f aca="false">IF($B37="","",G36+F37)</f>
        <v/>
      </c>
      <c r="H37" s="14" t="str">
        <f aca="false">IF($B37="","",(E36+E37)/2)</f>
        <v/>
      </c>
      <c r="I37" s="15" t="str">
        <f aca="false">IF($B37="","",IF(C37="Continuous",N(INDEX('2 Phases'!$G$7:$G$12,B37))*G36,0))</f>
        <v/>
      </c>
      <c r="J37" s="15" t="str">
        <f aca="false">IF($B37="","",IF(C37="Continuous",N(INDEX('2 Phases'!$H$7:$H$12,B37))*G36,0))</f>
        <v/>
      </c>
      <c r="K37" s="15" t="str">
        <f aca="false">IF($B37="","",I37-J37)</f>
        <v/>
      </c>
      <c r="L37" s="14" t="str">
        <f aca="false">IF($B37="","",J37*1000*H37)</f>
        <v/>
      </c>
      <c r="M37" s="15" t="str">
        <f aca="false">IF($B37="","",M36+F37+I37)</f>
        <v/>
      </c>
      <c r="N37" s="15" t="str">
        <f aca="false">IF($B37="","",N36+K37)</f>
        <v/>
      </c>
      <c r="O37" s="15" t="str">
        <f aca="false">IF($B37="","",O36+J37)</f>
        <v/>
      </c>
      <c r="P37" s="14" t="str">
        <f aca="false">IF($B37="","",P36+L37)</f>
        <v/>
      </c>
      <c r="Q37" s="18" t="str">
        <f aca="false">IF(OR($B37="",Q36="",'1 Setup'!$C$10=""),"",IF(AND($C37="Continuous",N(INDEX('2 Phases'!$G$7:$G$12,B37))&gt;0),IF('1 Setup'!$G$10="","",MAX(0,('1 Setup'!$G$10+('1 Setup'!$H$10*'1 Setup'!$C$10*0.00000024*$H37)/N(INDEX('2 Phases'!$G$7:$G$12,B37)))+(((Q36*($G36-$F36)+N('1 Setup'!$F$10)*$F36)/$G36)-('1 Setup'!$G$10+('1 Setup'!$H$10*'1 Setup'!$C$10*0.00000024*$H37)/N(INDEX('2 Phases'!$G$7:$G$12,B37))))*EXP(-N(INDEX('2 Phases'!$G$7:$G$12,B37))))),MAX(0,((Q36*($G36-$F36)+N('1 Setup'!$F$10)*$F36)/$G36)+('1 Setup'!$H$10*'1 Setup'!$C$10*0.00000024*$H37))))</f>
        <v/>
      </c>
      <c r="R37" s="18" t="str">
        <f aca="false">IF(OR($B37="",R36="",'1 Setup'!$C$11=""),"",IF(AND($C37="Continuous",N(INDEX('2 Phases'!$G$7:$G$12,B37))&gt;0),IF('1 Setup'!$G$11="","",MAX(0,('1 Setup'!$G$11+('1 Setup'!$H$11*'1 Setup'!$C$11*0.00000024*$H37)/N(INDEX('2 Phases'!$G$7:$G$12,B37)))+(((R36*($G36-$F36)+N('1 Setup'!$F$11)*$F36)/$G36)-('1 Setup'!$G$11+('1 Setup'!$H$11*'1 Setup'!$C$11*0.00000024*$H37)/N(INDEX('2 Phases'!$G$7:$G$12,B37))))*EXP(-N(INDEX('2 Phases'!$G$7:$G$12,B37))))),MAX(0,((R36*($G36-$F36)+N('1 Setup'!$F$11)*$F36)/$G36)+('1 Setup'!$H$11*'1 Setup'!$C$11*0.00000024*$H37))))</f>
        <v/>
      </c>
      <c r="S37" s="18" t="str">
        <f aca="false">IF(OR($B37="",S36="",'1 Setup'!$C$12=""),"",IF(AND($C37="Continuous",N(INDEX('2 Phases'!$G$7:$G$12,B37))&gt;0),IF('1 Setup'!$G$12="","",MAX(0,('1 Setup'!$G$12+('1 Setup'!$H$12*'1 Setup'!$C$12*0.00000024*$H37)/N(INDEX('2 Phases'!$G$7:$G$12,B37)))+(((S36*($G36-$F36)+N('1 Setup'!$F$12)*$F36)/$G36)-('1 Setup'!$G$12+('1 Setup'!$H$12*'1 Setup'!$C$12*0.00000024*$H37)/N(INDEX('2 Phases'!$G$7:$G$12,B37))))*EXP(-N(INDEX('2 Phases'!$G$7:$G$12,B37))))),MAX(0,((S36*($G36-$F36)+N('1 Setup'!$F$12)*$F36)/$G36)+('1 Setup'!$H$12*'1 Setup'!$C$12*0.00000024*$H37))))</f>
        <v/>
      </c>
      <c r="T37" s="18" t="str">
        <f aca="false">IF(OR($B37="",T36="",'1 Setup'!$C$13=""),"",IF(AND($C37="Continuous",N(INDEX('2 Phases'!$G$7:$G$12,B37))&gt;0),IF('1 Setup'!$G$13="","",MAX(0,('1 Setup'!$G$13+('1 Setup'!$H$13*'1 Setup'!$C$13*0.00000024*$H37)/N(INDEX('2 Phases'!$G$7:$G$12,B37)))+(((T36*($G36-$F36)+N('1 Setup'!$F$13)*$F36)/$G36)-('1 Setup'!$G$13+('1 Setup'!$H$13*'1 Setup'!$C$13*0.00000024*$H37)/N(INDEX('2 Phases'!$G$7:$G$12,B37))))*EXP(-N(INDEX('2 Phases'!$G$7:$G$12,B37))))),MAX(0,((T36*($G36-$F36)+N('1 Setup'!$F$13)*$F36)/$G36)+('1 Setup'!$H$13*'1 Setup'!$C$13*0.00000024*$H37))))</f>
        <v/>
      </c>
      <c r="U37" s="18" t="str">
        <f aca="false">IF(OR($B37="",U36="",'1 Setup'!$C$14=""),"",IF(AND($C37="Continuous",N(INDEX('2 Phases'!$G$7:$G$12,B37))&gt;0),IF('1 Setup'!$G$14="","",MAX(0,('1 Setup'!$G$14+('1 Setup'!$H$14*'1 Setup'!$C$14*0.00000024*$H37)/N(INDEX('2 Phases'!$G$7:$G$12,B37)))+(((U36*($G36-$F36)+N('1 Setup'!$F$14)*$F36)/$G36)-('1 Setup'!$G$14+('1 Setup'!$H$14*'1 Setup'!$C$14*0.00000024*$H37)/N(INDEX('2 Phases'!$G$7:$G$12,B37))))*EXP(-N(INDEX('2 Phases'!$G$7:$G$12,B37))))),MAX(0,((U36*($G36-$F36)+N('1 Setup'!$F$14)*$F36)/$G36)+('1 Setup'!$H$14*'1 Setup'!$C$14*0.00000024*$H37))))</f>
        <v/>
      </c>
      <c r="V37" s="18" t="str">
        <f aca="false">IF($B37="","",E37/1000000*'1 Setup'!$B$7)</f>
        <v/>
      </c>
      <c r="W37" s="18" t="str">
        <f aca="false">IF($B37="","",V37*G37)</f>
        <v/>
      </c>
      <c r="X37" s="18" t="str">
        <f aca="false">IF($B37="","",P37*'1 Setup'!$B$7/1000000000)</f>
        <v/>
      </c>
      <c r="Y37" s="18" t="str">
        <f aca="false">IF($B37="","",L37*'1 Setup'!$B$7/1000000000)</f>
        <v/>
      </c>
    </row>
    <row r="38" customFormat="false" ht="15" hidden="false" customHeight="false" outlineLevel="0" collapsed="false">
      <c r="A38" s="7" t="n">
        <v>32</v>
      </c>
      <c r="B38" s="7" t="str">
        <f aca="false">IF(A38&gt;'2 Phases'!$D$4,"",IF(A38=0,1,COUNTIF('2 Phases'!$M$7:$M$12,"&lt;"&amp;A38)+1))</f>
        <v/>
      </c>
      <c r="C38" s="7" t="str">
        <f aca="false">IF($B38="","",INDEX('2 Phases'!$C$7:$C$12,B38))</f>
        <v/>
      </c>
      <c r="D38" s="7" t="str">
        <f aca="false">IF($B38="","",A38-INDEX('2 Phases'!$L$7:$L$12,B38))</f>
        <v/>
      </c>
      <c r="E38" s="14" t="str">
        <f aca="false">IF($B38="","",IFERROR(IF(C38="Continuous",INDEX('2 Phases'!$N$7:$N$12,B38)*EXP((INDEX('2 Phases'!$P$7:$P$12,B38)-N(INDEX('2 Phases'!$H$7:$H$12,B38)))*D38),INDEX('2 Phases'!$N$7:$N$12,B38)*(IF(INDEX('2 Phases'!$E$7:$E$12,B38)="",INDEX('2 Phases'!$N$7:$N$12,B38),INDEX('2 Phases'!$E$7:$E$12,B38))/INDEX('2 Phases'!$N$7:$N$12,B38))^(D38/INDEX('2 Phases'!$D$7:$D$12,B38))),""))</f>
        <v/>
      </c>
      <c r="F38" s="15" t="n">
        <f aca="false">IF(OR($B38="",C38&lt;&gt;"Fed-batch",D38=0),0,IFERROR(N(INDEX('3 Feed regimes'!$B$6:$E$35,D38,MATCH(INDEX('2 Phases'!$F$7:$F$12,B38),'3 Feed regimes'!$B$4:$E$4,0)))*'1 Setup'!$B$5/100,0))</f>
        <v>0</v>
      </c>
      <c r="G38" s="15" t="str">
        <f aca="false">IF($B38="","",G37+F38)</f>
        <v/>
      </c>
      <c r="H38" s="14" t="str">
        <f aca="false">IF($B38="","",(E37+E38)/2)</f>
        <v/>
      </c>
      <c r="I38" s="15" t="str">
        <f aca="false">IF($B38="","",IF(C38="Continuous",N(INDEX('2 Phases'!$G$7:$G$12,B38))*G37,0))</f>
        <v/>
      </c>
      <c r="J38" s="15" t="str">
        <f aca="false">IF($B38="","",IF(C38="Continuous",N(INDEX('2 Phases'!$H$7:$H$12,B38))*G37,0))</f>
        <v/>
      </c>
      <c r="K38" s="15" t="str">
        <f aca="false">IF($B38="","",I38-J38)</f>
        <v/>
      </c>
      <c r="L38" s="14" t="str">
        <f aca="false">IF($B38="","",J38*1000*H38)</f>
        <v/>
      </c>
      <c r="M38" s="15" t="str">
        <f aca="false">IF($B38="","",M37+F38+I38)</f>
        <v/>
      </c>
      <c r="N38" s="15" t="str">
        <f aca="false">IF($B38="","",N37+K38)</f>
        <v/>
      </c>
      <c r="O38" s="15" t="str">
        <f aca="false">IF($B38="","",O37+J38)</f>
        <v/>
      </c>
      <c r="P38" s="14" t="str">
        <f aca="false">IF($B38="","",P37+L38)</f>
        <v/>
      </c>
      <c r="Q38" s="18" t="str">
        <f aca="false">IF(OR($B38="",Q37="",'1 Setup'!$C$10=""),"",IF(AND($C38="Continuous",N(INDEX('2 Phases'!$G$7:$G$12,B38))&gt;0),IF('1 Setup'!$G$10="","",MAX(0,('1 Setup'!$G$10+('1 Setup'!$H$10*'1 Setup'!$C$10*0.00000024*$H38)/N(INDEX('2 Phases'!$G$7:$G$12,B38)))+(((Q37*($G37-$F37)+N('1 Setup'!$F$10)*$F37)/$G37)-('1 Setup'!$G$10+('1 Setup'!$H$10*'1 Setup'!$C$10*0.00000024*$H38)/N(INDEX('2 Phases'!$G$7:$G$12,B38))))*EXP(-N(INDEX('2 Phases'!$G$7:$G$12,B38))))),MAX(0,((Q37*($G37-$F37)+N('1 Setup'!$F$10)*$F37)/$G37)+('1 Setup'!$H$10*'1 Setup'!$C$10*0.00000024*$H38))))</f>
        <v/>
      </c>
      <c r="R38" s="18" t="str">
        <f aca="false">IF(OR($B38="",R37="",'1 Setup'!$C$11=""),"",IF(AND($C38="Continuous",N(INDEX('2 Phases'!$G$7:$G$12,B38))&gt;0),IF('1 Setup'!$G$11="","",MAX(0,('1 Setup'!$G$11+('1 Setup'!$H$11*'1 Setup'!$C$11*0.00000024*$H38)/N(INDEX('2 Phases'!$G$7:$G$12,B38)))+(((R37*($G37-$F37)+N('1 Setup'!$F$11)*$F37)/$G37)-('1 Setup'!$G$11+('1 Setup'!$H$11*'1 Setup'!$C$11*0.00000024*$H38)/N(INDEX('2 Phases'!$G$7:$G$12,B38))))*EXP(-N(INDEX('2 Phases'!$G$7:$G$12,B38))))),MAX(0,((R37*($G37-$F37)+N('1 Setup'!$F$11)*$F37)/$G37)+('1 Setup'!$H$11*'1 Setup'!$C$11*0.00000024*$H38))))</f>
        <v/>
      </c>
      <c r="S38" s="18" t="str">
        <f aca="false">IF(OR($B38="",S37="",'1 Setup'!$C$12=""),"",IF(AND($C38="Continuous",N(INDEX('2 Phases'!$G$7:$G$12,B38))&gt;0),IF('1 Setup'!$G$12="","",MAX(0,('1 Setup'!$G$12+('1 Setup'!$H$12*'1 Setup'!$C$12*0.00000024*$H38)/N(INDEX('2 Phases'!$G$7:$G$12,B38)))+(((S37*($G37-$F37)+N('1 Setup'!$F$12)*$F37)/$G37)-('1 Setup'!$G$12+('1 Setup'!$H$12*'1 Setup'!$C$12*0.00000024*$H38)/N(INDEX('2 Phases'!$G$7:$G$12,B38))))*EXP(-N(INDEX('2 Phases'!$G$7:$G$12,B38))))),MAX(0,((S37*($G37-$F37)+N('1 Setup'!$F$12)*$F37)/$G37)+('1 Setup'!$H$12*'1 Setup'!$C$12*0.00000024*$H38))))</f>
        <v/>
      </c>
      <c r="T38" s="18" t="str">
        <f aca="false">IF(OR($B38="",T37="",'1 Setup'!$C$13=""),"",IF(AND($C38="Continuous",N(INDEX('2 Phases'!$G$7:$G$12,B38))&gt;0),IF('1 Setup'!$G$13="","",MAX(0,('1 Setup'!$G$13+('1 Setup'!$H$13*'1 Setup'!$C$13*0.00000024*$H38)/N(INDEX('2 Phases'!$G$7:$G$12,B38)))+(((T37*($G37-$F37)+N('1 Setup'!$F$13)*$F37)/$G37)-('1 Setup'!$G$13+('1 Setup'!$H$13*'1 Setup'!$C$13*0.00000024*$H38)/N(INDEX('2 Phases'!$G$7:$G$12,B38))))*EXP(-N(INDEX('2 Phases'!$G$7:$G$12,B38))))),MAX(0,((T37*($G37-$F37)+N('1 Setup'!$F$13)*$F37)/$G37)+('1 Setup'!$H$13*'1 Setup'!$C$13*0.00000024*$H38))))</f>
        <v/>
      </c>
      <c r="U38" s="18" t="str">
        <f aca="false">IF(OR($B38="",U37="",'1 Setup'!$C$14=""),"",IF(AND($C38="Continuous",N(INDEX('2 Phases'!$G$7:$G$12,B38))&gt;0),IF('1 Setup'!$G$14="","",MAX(0,('1 Setup'!$G$14+('1 Setup'!$H$14*'1 Setup'!$C$14*0.00000024*$H38)/N(INDEX('2 Phases'!$G$7:$G$12,B38)))+(((U37*($G37-$F37)+N('1 Setup'!$F$14)*$F37)/$G37)-('1 Setup'!$G$14+('1 Setup'!$H$14*'1 Setup'!$C$14*0.00000024*$H38)/N(INDEX('2 Phases'!$G$7:$G$12,B38))))*EXP(-N(INDEX('2 Phases'!$G$7:$G$12,B38))))),MAX(0,((U37*($G37-$F37)+N('1 Setup'!$F$14)*$F37)/$G37)+('1 Setup'!$H$14*'1 Setup'!$C$14*0.00000024*$H38))))</f>
        <v/>
      </c>
      <c r="V38" s="18" t="str">
        <f aca="false">IF($B38="","",E38/1000000*'1 Setup'!$B$7)</f>
        <v/>
      </c>
      <c r="W38" s="18" t="str">
        <f aca="false">IF($B38="","",V38*G38)</f>
        <v/>
      </c>
      <c r="X38" s="18" t="str">
        <f aca="false">IF($B38="","",P38*'1 Setup'!$B$7/1000000000)</f>
        <v/>
      </c>
      <c r="Y38" s="18" t="str">
        <f aca="false">IF($B38="","",L38*'1 Setup'!$B$7/1000000000)</f>
        <v/>
      </c>
    </row>
    <row r="39" customFormat="false" ht="15" hidden="false" customHeight="false" outlineLevel="0" collapsed="false">
      <c r="A39" s="7" t="n">
        <v>33</v>
      </c>
      <c r="B39" s="7" t="str">
        <f aca="false">IF(A39&gt;'2 Phases'!$D$4,"",IF(A39=0,1,COUNTIF('2 Phases'!$M$7:$M$12,"&lt;"&amp;A39)+1))</f>
        <v/>
      </c>
      <c r="C39" s="7" t="str">
        <f aca="false">IF($B39="","",INDEX('2 Phases'!$C$7:$C$12,B39))</f>
        <v/>
      </c>
      <c r="D39" s="7" t="str">
        <f aca="false">IF($B39="","",A39-INDEX('2 Phases'!$L$7:$L$12,B39))</f>
        <v/>
      </c>
      <c r="E39" s="14" t="str">
        <f aca="false">IF($B39="","",IFERROR(IF(C39="Continuous",INDEX('2 Phases'!$N$7:$N$12,B39)*EXP((INDEX('2 Phases'!$P$7:$P$12,B39)-N(INDEX('2 Phases'!$H$7:$H$12,B39)))*D39),INDEX('2 Phases'!$N$7:$N$12,B39)*(IF(INDEX('2 Phases'!$E$7:$E$12,B39)="",INDEX('2 Phases'!$N$7:$N$12,B39),INDEX('2 Phases'!$E$7:$E$12,B39))/INDEX('2 Phases'!$N$7:$N$12,B39))^(D39/INDEX('2 Phases'!$D$7:$D$12,B39))),""))</f>
        <v/>
      </c>
      <c r="F39" s="15" t="n">
        <f aca="false">IF(OR($B39="",C39&lt;&gt;"Fed-batch",D39=0),0,IFERROR(N(INDEX('3 Feed regimes'!$B$6:$E$35,D39,MATCH(INDEX('2 Phases'!$F$7:$F$12,B39),'3 Feed regimes'!$B$4:$E$4,0)))*'1 Setup'!$B$5/100,0))</f>
        <v>0</v>
      </c>
      <c r="G39" s="15" t="str">
        <f aca="false">IF($B39="","",G38+F39)</f>
        <v/>
      </c>
      <c r="H39" s="14" t="str">
        <f aca="false">IF($B39="","",(E38+E39)/2)</f>
        <v/>
      </c>
      <c r="I39" s="15" t="str">
        <f aca="false">IF($B39="","",IF(C39="Continuous",N(INDEX('2 Phases'!$G$7:$G$12,B39))*G38,0))</f>
        <v/>
      </c>
      <c r="J39" s="15" t="str">
        <f aca="false">IF($B39="","",IF(C39="Continuous",N(INDEX('2 Phases'!$H$7:$H$12,B39))*G38,0))</f>
        <v/>
      </c>
      <c r="K39" s="15" t="str">
        <f aca="false">IF($B39="","",I39-J39)</f>
        <v/>
      </c>
      <c r="L39" s="14" t="str">
        <f aca="false">IF($B39="","",J39*1000*H39)</f>
        <v/>
      </c>
      <c r="M39" s="15" t="str">
        <f aca="false">IF($B39="","",M38+F39+I39)</f>
        <v/>
      </c>
      <c r="N39" s="15" t="str">
        <f aca="false">IF($B39="","",N38+K39)</f>
        <v/>
      </c>
      <c r="O39" s="15" t="str">
        <f aca="false">IF($B39="","",O38+J39)</f>
        <v/>
      </c>
      <c r="P39" s="14" t="str">
        <f aca="false">IF($B39="","",P38+L39)</f>
        <v/>
      </c>
      <c r="Q39" s="18" t="str">
        <f aca="false">IF(OR($B39="",Q38="",'1 Setup'!$C$10=""),"",IF(AND($C39="Continuous",N(INDEX('2 Phases'!$G$7:$G$12,B39))&gt;0),IF('1 Setup'!$G$10="","",MAX(0,('1 Setup'!$G$10+('1 Setup'!$H$10*'1 Setup'!$C$10*0.00000024*$H39)/N(INDEX('2 Phases'!$G$7:$G$12,B39)))+(((Q38*($G38-$F38)+N('1 Setup'!$F$10)*$F38)/$G38)-('1 Setup'!$G$10+('1 Setup'!$H$10*'1 Setup'!$C$10*0.00000024*$H39)/N(INDEX('2 Phases'!$G$7:$G$12,B39))))*EXP(-N(INDEX('2 Phases'!$G$7:$G$12,B39))))),MAX(0,((Q38*($G38-$F38)+N('1 Setup'!$F$10)*$F38)/$G38)+('1 Setup'!$H$10*'1 Setup'!$C$10*0.00000024*$H39))))</f>
        <v/>
      </c>
      <c r="R39" s="18" t="str">
        <f aca="false">IF(OR($B39="",R38="",'1 Setup'!$C$11=""),"",IF(AND($C39="Continuous",N(INDEX('2 Phases'!$G$7:$G$12,B39))&gt;0),IF('1 Setup'!$G$11="","",MAX(0,('1 Setup'!$G$11+('1 Setup'!$H$11*'1 Setup'!$C$11*0.00000024*$H39)/N(INDEX('2 Phases'!$G$7:$G$12,B39)))+(((R38*($G38-$F38)+N('1 Setup'!$F$11)*$F38)/$G38)-('1 Setup'!$G$11+('1 Setup'!$H$11*'1 Setup'!$C$11*0.00000024*$H39)/N(INDEX('2 Phases'!$G$7:$G$12,B39))))*EXP(-N(INDEX('2 Phases'!$G$7:$G$12,B39))))),MAX(0,((R38*($G38-$F38)+N('1 Setup'!$F$11)*$F38)/$G38)+('1 Setup'!$H$11*'1 Setup'!$C$11*0.00000024*$H39))))</f>
        <v/>
      </c>
      <c r="S39" s="18" t="str">
        <f aca="false">IF(OR($B39="",S38="",'1 Setup'!$C$12=""),"",IF(AND($C39="Continuous",N(INDEX('2 Phases'!$G$7:$G$12,B39))&gt;0),IF('1 Setup'!$G$12="","",MAX(0,('1 Setup'!$G$12+('1 Setup'!$H$12*'1 Setup'!$C$12*0.00000024*$H39)/N(INDEX('2 Phases'!$G$7:$G$12,B39)))+(((S38*($G38-$F38)+N('1 Setup'!$F$12)*$F38)/$G38)-('1 Setup'!$G$12+('1 Setup'!$H$12*'1 Setup'!$C$12*0.00000024*$H39)/N(INDEX('2 Phases'!$G$7:$G$12,B39))))*EXP(-N(INDEX('2 Phases'!$G$7:$G$12,B39))))),MAX(0,((S38*($G38-$F38)+N('1 Setup'!$F$12)*$F38)/$G38)+('1 Setup'!$H$12*'1 Setup'!$C$12*0.00000024*$H39))))</f>
        <v/>
      </c>
      <c r="T39" s="18" t="str">
        <f aca="false">IF(OR($B39="",T38="",'1 Setup'!$C$13=""),"",IF(AND($C39="Continuous",N(INDEX('2 Phases'!$G$7:$G$12,B39))&gt;0),IF('1 Setup'!$G$13="","",MAX(0,('1 Setup'!$G$13+('1 Setup'!$H$13*'1 Setup'!$C$13*0.00000024*$H39)/N(INDEX('2 Phases'!$G$7:$G$12,B39)))+(((T38*($G38-$F38)+N('1 Setup'!$F$13)*$F38)/$G38)-('1 Setup'!$G$13+('1 Setup'!$H$13*'1 Setup'!$C$13*0.00000024*$H39)/N(INDEX('2 Phases'!$G$7:$G$12,B39))))*EXP(-N(INDEX('2 Phases'!$G$7:$G$12,B39))))),MAX(0,((T38*($G38-$F38)+N('1 Setup'!$F$13)*$F38)/$G38)+('1 Setup'!$H$13*'1 Setup'!$C$13*0.00000024*$H39))))</f>
        <v/>
      </c>
      <c r="U39" s="18" t="str">
        <f aca="false">IF(OR($B39="",U38="",'1 Setup'!$C$14=""),"",IF(AND($C39="Continuous",N(INDEX('2 Phases'!$G$7:$G$12,B39))&gt;0),IF('1 Setup'!$G$14="","",MAX(0,('1 Setup'!$G$14+('1 Setup'!$H$14*'1 Setup'!$C$14*0.00000024*$H39)/N(INDEX('2 Phases'!$G$7:$G$12,B39)))+(((U38*($G38-$F38)+N('1 Setup'!$F$14)*$F38)/$G38)-('1 Setup'!$G$14+('1 Setup'!$H$14*'1 Setup'!$C$14*0.00000024*$H39)/N(INDEX('2 Phases'!$G$7:$G$12,B39))))*EXP(-N(INDEX('2 Phases'!$G$7:$G$12,B39))))),MAX(0,((U38*($G38-$F38)+N('1 Setup'!$F$14)*$F38)/$G38)+('1 Setup'!$H$14*'1 Setup'!$C$14*0.00000024*$H39))))</f>
        <v/>
      </c>
      <c r="V39" s="18" t="str">
        <f aca="false">IF($B39="","",E39/1000000*'1 Setup'!$B$7)</f>
        <v/>
      </c>
      <c r="W39" s="18" t="str">
        <f aca="false">IF($B39="","",V39*G39)</f>
        <v/>
      </c>
      <c r="X39" s="18" t="str">
        <f aca="false">IF($B39="","",P39*'1 Setup'!$B$7/1000000000)</f>
        <v/>
      </c>
      <c r="Y39" s="18" t="str">
        <f aca="false">IF($B39="","",L39*'1 Setup'!$B$7/1000000000)</f>
        <v/>
      </c>
    </row>
    <row r="40" customFormat="false" ht="15" hidden="false" customHeight="false" outlineLevel="0" collapsed="false">
      <c r="A40" s="7" t="n">
        <v>34</v>
      </c>
      <c r="B40" s="7" t="str">
        <f aca="false">IF(A40&gt;'2 Phases'!$D$4,"",IF(A40=0,1,COUNTIF('2 Phases'!$M$7:$M$12,"&lt;"&amp;A40)+1))</f>
        <v/>
      </c>
      <c r="C40" s="7" t="str">
        <f aca="false">IF($B40="","",INDEX('2 Phases'!$C$7:$C$12,B40))</f>
        <v/>
      </c>
      <c r="D40" s="7" t="str">
        <f aca="false">IF($B40="","",A40-INDEX('2 Phases'!$L$7:$L$12,B40))</f>
        <v/>
      </c>
      <c r="E40" s="14" t="str">
        <f aca="false">IF($B40="","",IFERROR(IF(C40="Continuous",INDEX('2 Phases'!$N$7:$N$12,B40)*EXP((INDEX('2 Phases'!$P$7:$P$12,B40)-N(INDEX('2 Phases'!$H$7:$H$12,B40)))*D40),INDEX('2 Phases'!$N$7:$N$12,B40)*(IF(INDEX('2 Phases'!$E$7:$E$12,B40)="",INDEX('2 Phases'!$N$7:$N$12,B40),INDEX('2 Phases'!$E$7:$E$12,B40))/INDEX('2 Phases'!$N$7:$N$12,B40))^(D40/INDEX('2 Phases'!$D$7:$D$12,B40))),""))</f>
        <v/>
      </c>
      <c r="F40" s="15" t="n">
        <f aca="false">IF(OR($B40="",C40&lt;&gt;"Fed-batch",D40=0),0,IFERROR(N(INDEX('3 Feed regimes'!$B$6:$E$35,D40,MATCH(INDEX('2 Phases'!$F$7:$F$12,B40),'3 Feed regimes'!$B$4:$E$4,0)))*'1 Setup'!$B$5/100,0))</f>
        <v>0</v>
      </c>
      <c r="G40" s="15" t="str">
        <f aca="false">IF($B40="","",G39+F40)</f>
        <v/>
      </c>
      <c r="H40" s="14" t="str">
        <f aca="false">IF($B40="","",(E39+E40)/2)</f>
        <v/>
      </c>
      <c r="I40" s="15" t="str">
        <f aca="false">IF($B40="","",IF(C40="Continuous",N(INDEX('2 Phases'!$G$7:$G$12,B40))*G39,0))</f>
        <v/>
      </c>
      <c r="J40" s="15" t="str">
        <f aca="false">IF($B40="","",IF(C40="Continuous",N(INDEX('2 Phases'!$H$7:$H$12,B40))*G39,0))</f>
        <v/>
      </c>
      <c r="K40" s="15" t="str">
        <f aca="false">IF($B40="","",I40-J40)</f>
        <v/>
      </c>
      <c r="L40" s="14" t="str">
        <f aca="false">IF($B40="","",J40*1000*H40)</f>
        <v/>
      </c>
      <c r="M40" s="15" t="str">
        <f aca="false">IF($B40="","",M39+F40+I40)</f>
        <v/>
      </c>
      <c r="N40" s="15" t="str">
        <f aca="false">IF($B40="","",N39+K40)</f>
        <v/>
      </c>
      <c r="O40" s="15" t="str">
        <f aca="false">IF($B40="","",O39+J40)</f>
        <v/>
      </c>
      <c r="P40" s="14" t="str">
        <f aca="false">IF($B40="","",P39+L40)</f>
        <v/>
      </c>
      <c r="Q40" s="18" t="str">
        <f aca="false">IF(OR($B40="",Q39="",'1 Setup'!$C$10=""),"",IF(AND($C40="Continuous",N(INDEX('2 Phases'!$G$7:$G$12,B40))&gt;0),IF('1 Setup'!$G$10="","",MAX(0,('1 Setup'!$G$10+('1 Setup'!$H$10*'1 Setup'!$C$10*0.00000024*$H40)/N(INDEX('2 Phases'!$G$7:$G$12,B40)))+(((Q39*($G39-$F39)+N('1 Setup'!$F$10)*$F39)/$G39)-('1 Setup'!$G$10+('1 Setup'!$H$10*'1 Setup'!$C$10*0.00000024*$H40)/N(INDEX('2 Phases'!$G$7:$G$12,B40))))*EXP(-N(INDEX('2 Phases'!$G$7:$G$12,B40))))),MAX(0,((Q39*($G39-$F39)+N('1 Setup'!$F$10)*$F39)/$G39)+('1 Setup'!$H$10*'1 Setup'!$C$10*0.00000024*$H40))))</f>
        <v/>
      </c>
      <c r="R40" s="18" t="str">
        <f aca="false">IF(OR($B40="",R39="",'1 Setup'!$C$11=""),"",IF(AND($C40="Continuous",N(INDEX('2 Phases'!$G$7:$G$12,B40))&gt;0),IF('1 Setup'!$G$11="","",MAX(0,('1 Setup'!$G$11+('1 Setup'!$H$11*'1 Setup'!$C$11*0.00000024*$H40)/N(INDEX('2 Phases'!$G$7:$G$12,B40)))+(((R39*($G39-$F39)+N('1 Setup'!$F$11)*$F39)/$G39)-('1 Setup'!$G$11+('1 Setup'!$H$11*'1 Setup'!$C$11*0.00000024*$H40)/N(INDEX('2 Phases'!$G$7:$G$12,B40))))*EXP(-N(INDEX('2 Phases'!$G$7:$G$12,B40))))),MAX(0,((R39*($G39-$F39)+N('1 Setup'!$F$11)*$F39)/$G39)+('1 Setup'!$H$11*'1 Setup'!$C$11*0.00000024*$H40))))</f>
        <v/>
      </c>
      <c r="S40" s="18" t="str">
        <f aca="false">IF(OR($B40="",S39="",'1 Setup'!$C$12=""),"",IF(AND($C40="Continuous",N(INDEX('2 Phases'!$G$7:$G$12,B40))&gt;0),IF('1 Setup'!$G$12="","",MAX(0,('1 Setup'!$G$12+('1 Setup'!$H$12*'1 Setup'!$C$12*0.00000024*$H40)/N(INDEX('2 Phases'!$G$7:$G$12,B40)))+(((S39*($G39-$F39)+N('1 Setup'!$F$12)*$F39)/$G39)-('1 Setup'!$G$12+('1 Setup'!$H$12*'1 Setup'!$C$12*0.00000024*$H40)/N(INDEX('2 Phases'!$G$7:$G$12,B40))))*EXP(-N(INDEX('2 Phases'!$G$7:$G$12,B40))))),MAX(0,((S39*($G39-$F39)+N('1 Setup'!$F$12)*$F39)/$G39)+('1 Setup'!$H$12*'1 Setup'!$C$12*0.00000024*$H40))))</f>
        <v/>
      </c>
      <c r="T40" s="18" t="str">
        <f aca="false">IF(OR($B40="",T39="",'1 Setup'!$C$13=""),"",IF(AND($C40="Continuous",N(INDEX('2 Phases'!$G$7:$G$12,B40))&gt;0),IF('1 Setup'!$G$13="","",MAX(0,('1 Setup'!$G$13+('1 Setup'!$H$13*'1 Setup'!$C$13*0.00000024*$H40)/N(INDEX('2 Phases'!$G$7:$G$12,B40)))+(((T39*($G39-$F39)+N('1 Setup'!$F$13)*$F39)/$G39)-('1 Setup'!$G$13+('1 Setup'!$H$13*'1 Setup'!$C$13*0.00000024*$H40)/N(INDEX('2 Phases'!$G$7:$G$12,B40))))*EXP(-N(INDEX('2 Phases'!$G$7:$G$12,B40))))),MAX(0,((T39*($G39-$F39)+N('1 Setup'!$F$13)*$F39)/$G39)+('1 Setup'!$H$13*'1 Setup'!$C$13*0.00000024*$H40))))</f>
        <v/>
      </c>
      <c r="U40" s="18" t="str">
        <f aca="false">IF(OR($B40="",U39="",'1 Setup'!$C$14=""),"",IF(AND($C40="Continuous",N(INDEX('2 Phases'!$G$7:$G$12,B40))&gt;0),IF('1 Setup'!$G$14="","",MAX(0,('1 Setup'!$G$14+('1 Setup'!$H$14*'1 Setup'!$C$14*0.00000024*$H40)/N(INDEX('2 Phases'!$G$7:$G$12,B40)))+(((U39*($G39-$F39)+N('1 Setup'!$F$14)*$F39)/$G39)-('1 Setup'!$G$14+('1 Setup'!$H$14*'1 Setup'!$C$14*0.00000024*$H40)/N(INDEX('2 Phases'!$G$7:$G$12,B40))))*EXP(-N(INDEX('2 Phases'!$G$7:$G$12,B40))))),MAX(0,((U39*($G39-$F39)+N('1 Setup'!$F$14)*$F39)/$G39)+('1 Setup'!$H$14*'1 Setup'!$C$14*0.00000024*$H40))))</f>
        <v/>
      </c>
      <c r="V40" s="18" t="str">
        <f aca="false">IF($B40="","",E40/1000000*'1 Setup'!$B$7)</f>
        <v/>
      </c>
      <c r="W40" s="18" t="str">
        <f aca="false">IF($B40="","",V40*G40)</f>
        <v/>
      </c>
      <c r="X40" s="18" t="str">
        <f aca="false">IF($B40="","",P40*'1 Setup'!$B$7/1000000000)</f>
        <v/>
      </c>
      <c r="Y40" s="18" t="str">
        <f aca="false">IF($B40="","",L40*'1 Setup'!$B$7/1000000000)</f>
        <v/>
      </c>
    </row>
    <row r="41" customFormat="false" ht="15" hidden="false" customHeight="false" outlineLevel="0" collapsed="false">
      <c r="A41" s="7" t="n">
        <v>35</v>
      </c>
      <c r="B41" s="7" t="str">
        <f aca="false">IF(A41&gt;'2 Phases'!$D$4,"",IF(A41=0,1,COUNTIF('2 Phases'!$M$7:$M$12,"&lt;"&amp;A41)+1))</f>
        <v/>
      </c>
      <c r="C41" s="7" t="str">
        <f aca="false">IF($B41="","",INDEX('2 Phases'!$C$7:$C$12,B41))</f>
        <v/>
      </c>
      <c r="D41" s="7" t="str">
        <f aca="false">IF($B41="","",A41-INDEX('2 Phases'!$L$7:$L$12,B41))</f>
        <v/>
      </c>
      <c r="E41" s="14" t="str">
        <f aca="false">IF($B41="","",IFERROR(IF(C41="Continuous",INDEX('2 Phases'!$N$7:$N$12,B41)*EXP((INDEX('2 Phases'!$P$7:$P$12,B41)-N(INDEX('2 Phases'!$H$7:$H$12,B41)))*D41),INDEX('2 Phases'!$N$7:$N$12,B41)*(IF(INDEX('2 Phases'!$E$7:$E$12,B41)="",INDEX('2 Phases'!$N$7:$N$12,B41),INDEX('2 Phases'!$E$7:$E$12,B41))/INDEX('2 Phases'!$N$7:$N$12,B41))^(D41/INDEX('2 Phases'!$D$7:$D$12,B41))),""))</f>
        <v/>
      </c>
      <c r="F41" s="15" t="n">
        <f aca="false">IF(OR($B41="",C41&lt;&gt;"Fed-batch",D41=0),0,IFERROR(N(INDEX('3 Feed regimes'!$B$6:$E$35,D41,MATCH(INDEX('2 Phases'!$F$7:$F$12,B41),'3 Feed regimes'!$B$4:$E$4,0)))*'1 Setup'!$B$5/100,0))</f>
        <v>0</v>
      </c>
      <c r="G41" s="15" t="str">
        <f aca="false">IF($B41="","",G40+F41)</f>
        <v/>
      </c>
      <c r="H41" s="14" t="str">
        <f aca="false">IF($B41="","",(E40+E41)/2)</f>
        <v/>
      </c>
      <c r="I41" s="15" t="str">
        <f aca="false">IF($B41="","",IF(C41="Continuous",N(INDEX('2 Phases'!$G$7:$G$12,B41))*G40,0))</f>
        <v/>
      </c>
      <c r="J41" s="15" t="str">
        <f aca="false">IF($B41="","",IF(C41="Continuous",N(INDEX('2 Phases'!$H$7:$H$12,B41))*G40,0))</f>
        <v/>
      </c>
      <c r="K41" s="15" t="str">
        <f aca="false">IF($B41="","",I41-J41)</f>
        <v/>
      </c>
      <c r="L41" s="14" t="str">
        <f aca="false">IF($B41="","",J41*1000*H41)</f>
        <v/>
      </c>
      <c r="M41" s="15" t="str">
        <f aca="false">IF($B41="","",M40+F41+I41)</f>
        <v/>
      </c>
      <c r="N41" s="15" t="str">
        <f aca="false">IF($B41="","",N40+K41)</f>
        <v/>
      </c>
      <c r="O41" s="15" t="str">
        <f aca="false">IF($B41="","",O40+J41)</f>
        <v/>
      </c>
      <c r="P41" s="14" t="str">
        <f aca="false">IF($B41="","",P40+L41)</f>
        <v/>
      </c>
      <c r="Q41" s="18" t="str">
        <f aca="false">IF(OR($B41="",Q40="",'1 Setup'!$C$10=""),"",IF(AND($C41="Continuous",N(INDEX('2 Phases'!$G$7:$G$12,B41))&gt;0),IF('1 Setup'!$G$10="","",MAX(0,('1 Setup'!$G$10+('1 Setup'!$H$10*'1 Setup'!$C$10*0.00000024*$H41)/N(INDEX('2 Phases'!$G$7:$G$12,B41)))+(((Q40*($G40-$F40)+N('1 Setup'!$F$10)*$F40)/$G40)-('1 Setup'!$G$10+('1 Setup'!$H$10*'1 Setup'!$C$10*0.00000024*$H41)/N(INDEX('2 Phases'!$G$7:$G$12,B41))))*EXP(-N(INDEX('2 Phases'!$G$7:$G$12,B41))))),MAX(0,((Q40*($G40-$F40)+N('1 Setup'!$F$10)*$F40)/$G40)+('1 Setup'!$H$10*'1 Setup'!$C$10*0.00000024*$H41))))</f>
        <v/>
      </c>
      <c r="R41" s="18" t="str">
        <f aca="false">IF(OR($B41="",R40="",'1 Setup'!$C$11=""),"",IF(AND($C41="Continuous",N(INDEX('2 Phases'!$G$7:$G$12,B41))&gt;0),IF('1 Setup'!$G$11="","",MAX(0,('1 Setup'!$G$11+('1 Setup'!$H$11*'1 Setup'!$C$11*0.00000024*$H41)/N(INDEX('2 Phases'!$G$7:$G$12,B41)))+(((R40*($G40-$F40)+N('1 Setup'!$F$11)*$F40)/$G40)-('1 Setup'!$G$11+('1 Setup'!$H$11*'1 Setup'!$C$11*0.00000024*$H41)/N(INDEX('2 Phases'!$G$7:$G$12,B41))))*EXP(-N(INDEX('2 Phases'!$G$7:$G$12,B41))))),MAX(0,((R40*($G40-$F40)+N('1 Setup'!$F$11)*$F40)/$G40)+('1 Setup'!$H$11*'1 Setup'!$C$11*0.00000024*$H41))))</f>
        <v/>
      </c>
      <c r="S41" s="18" t="str">
        <f aca="false">IF(OR($B41="",S40="",'1 Setup'!$C$12=""),"",IF(AND($C41="Continuous",N(INDEX('2 Phases'!$G$7:$G$12,B41))&gt;0),IF('1 Setup'!$G$12="","",MAX(0,('1 Setup'!$G$12+('1 Setup'!$H$12*'1 Setup'!$C$12*0.00000024*$H41)/N(INDEX('2 Phases'!$G$7:$G$12,B41)))+(((S40*($G40-$F40)+N('1 Setup'!$F$12)*$F40)/$G40)-('1 Setup'!$G$12+('1 Setup'!$H$12*'1 Setup'!$C$12*0.00000024*$H41)/N(INDEX('2 Phases'!$G$7:$G$12,B41))))*EXP(-N(INDEX('2 Phases'!$G$7:$G$12,B41))))),MAX(0,((S40*($G40-$F40)+N('1 Setup'!$F$12)*$F40)/$G40)+('1 Setup'!$H$12*'1 Setup'!$C$12*0.00000024*$H41))))</f>
        <v/>
      </c>
      <c r="T41" s="18" t="str">
        <f aca="false">IF(OR($B41="",T40="",'1 Setup'!$C$13=""),"",IF(AND($C41="Continuous",N(INDEX('2 Phases'!$G$7:$G$12,B41))&gt;0),IF('1 Setup'!$G$13="","",MAX(0,('1 Setup'!$G$13+('1 Setup'!$H$13*'1 Setup'!$C$13*0.00000024*$H41)/N(INDEX('2 Phases'!$G$7:$G$12,B41)))+(((T40*($G40-$F40)+N('1 Setup'!$F$13)*$F40)/$G40)-('1 Setup'!$G$13+('1 Setup'!$H$13*'1 Setup'!$C$13*0.00000024*$H41)/N(INDEX('2 Phases'!$G$7:$G$12,B41))))*EXP(-N(INDEX('2 Phases'!$G$7:$G$12,B41))))),MAX(0,((T40*($G40-$F40)+N('1 Setup'!$F$13)*$F40)/$G40)+('1 Setup'!$H$13*'1 Setup'!$C$13*0.00000024*$H41))))</f>
        <v/>
      </c>
      <c r="U41" s="18" t="str">
        <f aca="false">IF(OR($B41="",U40="",'1 Setup'!$C$14=""),"",IF(AND($C41="Continuous",N(INDEX('2 Phases'!$G$7:$G$12,B41))&gt;0),IF('1 Setup'!$G$14="","",MAX(0,('1 Setup'!$G$14+('1 Setup'!$H$14*'1 Setup'!$C$14*0.00000024*$H41)/N(INDEX('2 Phases'!$G$7:$G$12,B41)))+(((U40*($G40-$F40)+N('1 Setup'!$F$14)*$F40)/$G40)-('1 Setup'!$G$14+('1 Setup'!$H$14*'1 Setup'!$C$14*0.00000024*$H41)/N(INDEX('2 Phases'!$G$7:$G$12,B41))))*EXP(-N(INDEX('2 Phases'!$G$7:$G$12,B41))))),MAX(0,((U40*($G40-$F40)+N('1 Setup'!$F$14)*$F40)/$G40)+('1 Setup'!$H$14*'1 Setup'!$C$14*0.00000024*$H41))))</f>
        <v/>
      </c>
      <c r="V41" s="18" t="str">
        <f aca="false">IF($B41="","",E41/1000000*'1 Setup'!$B$7)</f>
        <v/>
      </c>
      <c r="W41" s="18" t="str">
        <f aca="false">IF($B41="","",V41*G41)</f>
        <v/>
      </c>
      <c r="X41" s="18" t="str">
        <f aca="false">IF($B41="","",P41*'1 Setup'!$B$7/1000000000)</f>
        <v/>
      </c>
      <c r="Y41" s="18" t="str">
        <f aca="false">IF($B41="","",L41*'1 Setup'!$B$7/1000000000)</f>
        <v/>
      </c>
    </row>
    <row r="42" customFormat="false" ht="15" hidden="false" customHeight="false" outlineLevel="0" collapsed="false">
      <c r="A42" s="7" t="n">
        <v>36</v>
      </c>
      <c r="B42" s="7" t="str">
        <f aca="false">IF(A42&gt;'2 Phases'!$D$4,"",IF(A42=0,1,COUNTIF('2 Phases'!$M$7:$M$12,"&lt;"&amp;A42)+1))</f>
        <v/>
      </c>
      <c r="C42" s="7" t="str">
        <f aca="false">IF($B42="","",INDEX('2 Phases'!$C$7:$C$12,B42))</f>
        <v/>
      </c>
      <c r="D42" s="7" t="str">
        <f aca="false">IF($B42="","",A42-INDEX('2 Phases'!$L$7:$L$12,B42))</f>
        <v/>
      </c>
      <c r="E42" s="14" t="str">
        <f aca="false">IF($B42="","",IFERROR(IF(C42="Continuous",INDEX('2 Phases'!$N$7:$N$12,B42)*EXP((INDEX('2 Phases'!$P$7:$P$12,B42)-N(INDEX('2 Phases'!$H$7:$H$12,B42)))*D42),INDEX('2 Phases'!$N$7:$N$12,B42)*(IF(INDEX('2 Phases'!$E$7:$E$12,B42)="",INDEX('2 Phases'!$N$7:$N$12,B42),INDEX('2 Phases'!$E$7:$E$12,B42))/INDEX('2 Phases'!$N$7:$N$12,B42))^(D42/INDEX('2 Phases'!$D$7:$D$12,B42))),""))</f>
        <v/>
      </c>
      <c r="F42" s="15" t="n">
        <f aca="false">IF(OR($B42="",C42&lt;&gt;"Fed-batch",D42=0),0,IFERROR(N(INDEX('3 Feed regimes'!$B$6:$E$35,D42,MATCH(INDEX('2 Phases'!$F$7:$F$12,B42),'3 Feed regimes'!$B$4:$E$4,0)))*'1 Setup'!$B$5/100,0))</f>
        <v>0</v>
      </c>
      <c r="G42" s="15" t="str">
        <f aca="false">IF($B42="","",G41+F42)</f>
        <v/>
      </c>
      <c r="H42" s="14" t="str">
        <f aca="false">IF($B42="","",(E41+E42)/2)</f>
        <v/>
      </c>
      <c r="I42" s="15" t="str">
        <f aca="false">IF($B42="","",IF(C42="Continuous",N(INDEX('2 Phases'!$G$7:$G$12,B42))*G41,0))</f>
        <v/>
      </c>
      <c r="J42" s="15" t="str">
        <f aca="false">IF($B42="","",IF(C42="Continuous",N(INDEX('2 Phases'!$H$7:$H$12,B42))*G41,0))</f>
        <v/>
      </c>
      <c r="K42" s="15" t="str">
        <f aca="false">IF($B42="","",I42-J42)</f>
        <v/>
      </c>
      <c r="L42" s="14" t="str">
        <f aca="false">IF($B42="","",J42*1000*H42)</f>
        <v/>
      </c>
      <c r="M42" s="15" t="str">
        <f aca="false">IF($B42="","",M41+F42+I42)</f>
        <v/>
      </c>
      <c r="N42" s="15" t="str">
        <f aca="false">IF($B42="","",N41+K42)</f>
        <v/>
      </c>
      <c r="O42" s="15" t="str">
        <f aca="false">IF($B42="","",O41+J42)</f>
        <v/>
      </c>
      <c r="P42" s="14" t="str">
        <f aca="false">IF($B42="","",P41+L42)</f>
        <v/>
      </c>
      <c r="Q42" s="18" t="str">
        <f aca="false">IF(OR($B42="",Q41="",'1 Setup'!$C$10=""),"",IF(AND($C42="Continuous",N(INDEX('2 Phases'!$G$7:$G$12,B42))&gt;0),IF('1 Setup'!$G$10="","",MAX(0,('1 Setup'!$G$10+('1 Setup'!$H$10*'1 Setup'!$C$10*0.00000024*$H42)/N(INDEX('2 Phases'!$G$7:$G$12,B42)))+(((Q41*($G41-$F41)+N('1 Setup'!$F$10)*$F41)/$G41)-('1 Setup'!$G$10+('1 Setup'!$H$10*'1 Setup'!$C$10*0.00000024*$H42)/N(INDEX('2 Phases'!$G$7:$G$12,B42))))*EXP(-N(INDEX('2 Phases'!$G$7:$G$12,B42))))),MAX(0,((Q41*($G41-$F41)+N('1 Setup'!$F$10)*$F41)/$G41)+('1 Setup'!$H$10*'1 Setup'!$C$10*0.00000024*$H42))))</f>
        <v/>
      </c>
      <c r="R42" s="18" t="str">
        <f aca="false">IF(OR($B42="",R41="",'1 Setup'!$C$11=""),"",IF(AND($C42="Continuous",N(INDEX('2 Phases'!$G$7:$G$12,B42))&gt;0),IF('1 Setup'!$G$11="","",MAX(0,('1 Setup'!$G$11+('1 Setup'!$H$11*'1 Setup'!$C$11*0.00000024*$H42)/N(INDEX('2 Phases'!$G$7:$G$12,B42)))+(((R41*($G41-$F41)+N('1 Setup'!$F$11)*$F41)/$G41)-('1 Setup'!$G$11+('1 Setup'!$H$11*'1 Setup'!$C$11*0.00000024*$H42)/N(INDEX('2 Phases'!$G$7:$G$12,B42))))*EXP(-N(INDEX('2 Phases'!$G$7:$G$12,B42))))),MAX(0,((R41*($G41-$F41)+N('1 Setup'!$F$11)*$F41)/$G41)+('1 Setup'!$H$11*'1 Setup'!$C$11*0.00000024*$H42))))</f>
        <v/>
      </c>
      <c r="S42" s="18" t="str">
        <f aca="false">IF(OR($B42="",S41="",'1 Setup'!$C$12=""),"",IF(AND($C42="Continuous",N(INDEX('2 Phases'!$G$7:$G$12,B42))&gt;0),IF('1 Setup'!$G$12="","",MAX(0,('1 Setup'!$G$12+('1 Setup'!$H$12*'1 Setup'!$C$12*0.00000024*$H42)/N(INDEX('2 Phases'!$G$7:$G$12,B42)))+(((S41*($G41-$F41)+N('1 Setup'!$F$12)*$F41)/$G41)-('1 Setup'!$G$12+('1 Setup'!$H$12*'1 Setup'!$C$12*0.00000024*$H42)/N(INDEX('2 Phases'!$G$7:$G$12,B42))))*EXP(-N(INDEX('2 Phases'!$G$7:$G$12,B42))))),MAX(0,((S41*($G41-$F41)+N('1 Setup'!$F$12)*$F41)/$G41)+('1 Setup'!$H$12*'1 Setup'!$C$12*0.00000024*$H42))))</f>
        <v/>
      </c>
      <c r="T42" s="18" t="str">
        <f aca="false">IF(OR($B42="",T41="",'1 Setup'!$C$13=""),"",IF(AND($C42="Continuous",N(INDEX('2 Phases'!$G$7:$G$12,B42))&gt;0),IF('1 Setup'!$G$13="","",MAX(0,('1 Setup'!$G$13+('1 Setup'!$H$13*'1 Setup'!$C$13*0.00000024*$H42)/N(INDEX('2 Phases'!$G$7:$G$12,B42)))+(((T41*($G41-$F41)+N('1 Setup'!$F$13)*$F41)/$G41)-('1 Setup'!$G$13+('1 Setup'!$H$13*'1 Setup'!$C$13*0.00000024*$H42)/N(INDEX('2 Phases'!$G$7:$G$12,B42))))*EXP(-N(INDEX('2 Phases'!$G$7:$G$12,B42))))),MAX(0,((T41*($G41-$F41)+N('1 Setup'!$F$13)*$F41)/$G41)+('1 Setup'!$H$13*'1 Setup'!$C$13*0.00000024*$H42))))</f>
        <v/>
      </c>
      <c r="U42" s="18" t="str">
        <f aca="false">IF(OR($B42="",U41="",'1 Setup'!$C$14=""),"",IF(AND($C42="Continuous",N(INDEX('2 Phases'!$G$7:$G$12,B42))&gt;0),IF('1 Setup'!$G$14="","",MAX(0,('1 Setup'!$G$14+('1 Setup'!$H$14*'1 Setup'!$C$14*0.00000024*$H42)/N(INDEX('2 Phases'!$G$7:$G$12,B42)))+(((U41*($G41-$F41)+N('1 Setup'!$F$14)*$F41)/$G41)-('1 Setup'!$G$14+('1 Setup'!$H$14*'1 Setup'!$C$14*0.00000024*$H42)/N(INDEX('2 Phases'!$G$7:$G$12,B42))))*EXP(-N(INDEX('2 Phases'!$G$7:$G$12,B42))))),MAX(0,((U41*($G41-$F41)+N('1 Setup'!$F$14)*$F41)/$G41)+('1 Setup'!$H$14*'1 Setup'!$C$14*0.00000024*$H42))))</f>
        <v/>
      </c>
      <c r="V42" s="18" t="str">
        <f aca="false">IF($B42="","",E42/1000000*'1 Setup'!$B$7)</f>
        <v/>
      </c>
      <c r="W42" s="18" t="str">
        <f aca="false">IF($B42="","",V42*G42)</f>
        <v/>
      </c>
      <c r="X42" s="18" t="str">
        <f aca="false">IF($B42="","",P42*'1 Setup'!$B$7/1000000000)</f>
        <v/>
      </c>
      <c r="Y42" s="18" t="str">
        <f aca="false">IF($B42="","",L42*'1 Setup'!$B$7/1000000000)</f>
        <v/>
      </c>
    </row>
    <row r="43" customFormat="false" ht="15" hidden="false" customHeight="false" outlineLevel="0" collapsed="false">
      <c r="A43" s="7" t="n">
        <v>37</v>
      </c>
      <c r="B43" s="7" t="str">
        <f aca="false">IF(A43&gt;'2 Phases'!$D$4,"",IF(A43=0,1,COUNTIF('2 Phases'!$M$7:$M$12,"&lt;"&amp;A43)+1))</f>
        <v/>
      </c>
      <c r="C43" s="7" t="str">
        <f aca="false">IF($B43="","",INDEX('2 Phases'!$C$7:$C$12,B43))</f>
        <v/>
      </c>
      <c r="D43" s="7" t="str">
        <f aca="false">IF($B43="","",A43-INDEX('2 Phases'!$L$7:$L$12,B43))</f>
        <v/>
      </c>
      <c r="E43" s="14" t="str">
        <f aca="false">IF($B43="","",IFERROR(IF(C43="Continuous",INDEX('2 Phases'!$N$7:$N$12,B43)*EXP((INDEX('2 Phases'!$P$7:$P$12,B43)-N(INDEX('2 Phases'!$H$7:$H$12,B43)))*D43),INDEX('2 Phases'!$N$7:$N$12,B43)*(IF(INDEX('2 Phases'!$E$7:$E$12,B43)="",INDEX('2 Phases'!$N$7:$N$12,B43),INDEX('2 Phases'!$E$7:$E$12,B43))/INDEX('2 Phases'!$N$7:$N$12,B43))^(D43/INDEX('2 Phases'!$D$7:$D$12,B43))),""))</f>
        <v/>
      </c>
      <c r="F43" s="15" t="n">
        <f aca="false">IF(OR($B43="",C43&lt;&gt;"Fed-batch",D43=0),0,IFERROR(N(INDEX('3 Feed regimes'!$B$6:$E$35,D43,MATCH(INDEX('2 Phases'!$F$7:$F$12,B43),'3 Feed regimes'!$B$4:$E$4,0)))*'1 Setup'!$B$5/100,0))</f>
        <v>0</v>
      </c>
      <c r="G43" s="15" t="str">
        <f aca="false">IF($B43="","",G42+F43)</f>
        <v/>
      </c>
      <c r="H43" s="14" t="str">
        <f aca="false">IF($B43="","",(E42+E43)/2)</f>
        <v/>
      </c>
      <c r="I43" s="15" t="str">
        <f aca="false">IF($B43="","",IF(C43="Continuous",N(INDEX('2 Phases'!$G$7:$G$12,B43))*G42,0))</f>
        <v/>
      </c>
      <c r="J43" s="15" t="str">
        <f aca="false">IF($B43="","",IF(C43="Continuous",N(INDEX('2 Phases'!$H$7:$H$12,B43))*G42,0))</f>
        <v/>
      </c>
      <c r="K43" s="15" t="str">
        <f aca="false">IF($B43="","",I43-J43)</f>
        <v/>
      </c>
      <c r="L43" s="14" t="str">
        <f aca="false">IF($B43="","",J43*1000*H43)</f>
        <v/>
      </c>
      <c r="M43" s="15" t="str">
        <f aca="false">IF($B43="","",M42+F43+I43)</f>
        <v/>
      </c>
      <c r="N43" s="15" t="str">
        <f aca="false">IF($B43="","",N42+K43)</f>
        <v/>
      </c>
      <c r="O43" s="15" t="str">
        <f aca="false">IF($B43="","",O42+J43)</f>
        <v/>
      </c>
      <c r="P43" s="14" t="str">
        <f aca="false">IF($B43="","",P42+L43)</f>
        <v/>
      </c>
      <c r="Q43" s="18" t="str">
        <f aca="false">IF(OR($B43="",Q42="",'1 Setup'!$C$10=""),"",IF(AND($C43="Continuous",N(INDEX('2 Phases'!$G$7:$G$12,B43))&gt;0),IF('1 Setup'!$G$10="","",MAX(0,('1 Setup'!$G$10+('1 Setup'!$H$10*'1 Setup'!$C$10*0.00000024*$H43)/N(INDEX('2 Phases'!$G$7:$G$12,B43)))+(((Q42*($G42-$F42)+N('1 Setup'!$F$10)*$F42)/$G42)-('1 Setup'!$G$10+('1 Setup'!$H$10*'1 Setup'!$C$10*0.00000024*$H43)/N(INDEX('2 Phases'!$G$7:$G$12,B43))))*EXP(-N(INDEX('2 Phases'!$G$7:$G$12,B43))))),MAX(0,((Q42*($G42-$F42)+N('1 Setup'!$F$10)*$F42)/$G42)+('1 Setup'!$H$10*'1 Setup'!$C$10*0.00000024*$H43))))</f>
        <v/>
      </c>
      <c r="R43" s="18" t="str">
        <f aca="false">IF(OR($B43="",R42="",'1 Setup'!$C$11=""),"",IF(AND($C43="Continuous",N(INDEX('2 Phases'!$G$7:$G$12,B43))&gt;0),IF('1 Setup'!$G$11="","",MAX(0,('1 Setup'!$G$11+('1 Setup'!$H$11*'1 Setup'!$C$11*0.00000024*$H43)/N(INDEX('2 Phases'!$G$7:$G$12,B43)))+(((R42*($G42-$F42)+N('1 Setup'!$F$11)*$F42)/$G42)-('1 Setup'!$G$11+('1 Setup'!$H$11*'1 Setup'!$C$11*0.00000024*$H43)/N(INDEX('2 Phases'!$G$7:$G$12,B43))))*EXP(-N(INDEX('2 Phases'!$G$7:$G$12,B43))))),MAX(0,((R42*($G42-$F42)+N('1 Setup'!$F$11)*$F42)/$G42)+('1 Setup'!$H$11*'1 Setup'!$C$11*0.00000024*$H43))))</f>
        <v/>
      </c>
      <c r="S43" s="18" t="str">
        <f aca="false">IF(OR($B43="",S42="",'1 Setup'!$C$12=""),"",IF(AND($C43="Continuous",N(INDEX('2 Phases'!$G$7:$G$12,B43))&gt;0),IF('1 Setup'!$G$12="","",MAX(0,('1 Setup'!$G$12+('1 Setup'!$H$12*'1 Setup'!$C$12*0.00000024*$H43)/N(INDEX('2 Phases'!$G$7:$G$12,B43)))+(((S42*($G42-$F42)+N('1 Setup'!$F$12)*$F42)/$G42)-('1 Setup'!$G$12+('1 Setup'!$H$12*'1 Setup'!$C$12*0.00000024*$H43)/N(INDEX('2 Phases'!$G$7:$G$12,B43))))*EXP(-N(INDEX('2 Phases'!$G$7:$G$12,B43))))),MAX(0,((S42*($G42-$F42)+N('1 Setup'!$F$12)*$F42)/$G42)+('1 Setup'!$H$12*'1 Setup'!$C$12*0.00000024*$H43))))</f>
        <v/>
      </c>
      <c r="T43" s="18" t="str">
        <f aca="false">IF(OR($B43="",T42="",'1 Setup'!$C$13=""),"",IF(AND($C43="Continuous",N(INDEX('2 Phases'!$G$7:$G$12,B43))&gt;0),IF('1 Setup'!$G$13="","",MAX(0,('1 Setup'!$G$13+('1 Setup'!$H$13*'1 Setup'!$C$13*0.00000024*$H43)/N(INDEX('2 Phases'!$G$7:$G$12,B43)))+(((T42*($G42-$F42)+N('1 Setup'!$F$13)*$F42)/$G42)-('1 Setup'!$G$13+('1 Setup'!$H$13*'1 Setup'!$C$13*0.00000024*$H43)/N(INDEX('2 Phases'!$G$7:$G$12,B43))))*EXP(-N(INDEX('2 Phases'!$G$7:$G$12,B43))))),MAX(0,((T42*($G42-$F42)+N('1 Setup'!$F$13)*$F42)/$G42)+('1 Setup'!$H$13*'1 Setup'!$C$13*0.00000024*$H43))))</f>
        <v/>
      </c>
      <c r="U43" s="18" t="str">
        <f aca="false">IF(OR($B43="",U42="",'1 Setup'!$C$14=""),"",IF(AND($C43="Continuous",N(INDEX('2 Phases'!$G$7:$G$12,B43))&gt;0),IF('1 Setup'!$G$14="","",MAX(0,('1 Setup'!$G$14+('1 Setup'!$H$14*'1 Setup'!$C$14*0.00000024*$H43)/N(INDEX('2 Phases'!$G$7:$G$12,B43)))+(((U42*($G42-$F42)+N('1 Setup'!$F$14)*$F42)/$G42)-('1 Setup'!$G$14+('1 Setup'!$H$14*'1 Setup'!$C$14*0.00000024*$H43)/N(INDEX('2 Phases'!$G$7:$G$12,B43))))*EXP(-N(INDEX('2 Phases'!$G$7:$G$12,B43))))),MAX(0,((U42*($G42-$F42)+N('1 Setup'!$F$14)*$F42)/$G42)+('1 Setup'!$H$14*'1 Setup'!$C$14*0.00000024*$H43))))</f>
        <v/>
      </c>
      <c r="V43" s="18" t="str">
        <f aca="false">IF($B43="","",E43/1000000*'1 Setup'!$B$7)</f>
        <v/>
      </c>
      <c r="W43" s="18" t="str">
        <f aca="false">IF($B43="","",V43*G43)</f>
        <v/>
      </c>
      <c r="X43" s="18" t="str">
        <f aca="false">IF($B43="","",P43*'1 Setup'!$B$7/1000000000)</f>
        <v/>
      </c>
      <c r="Y43" s="18" t="str">
        <f aca="false">IF($B43="","",L43*'1 Setup'!$B$7/1000000000)</f>
        <v/>
      </c>
    </row>
    <row r="44" customFormat="false" ht="15" hidden="false" customHeight="false" outlineLevel="0" collapsed="false">
      <c r="A44" s="7" t="n">
        <v>38</v>
      </c>
      <c r="B44" s="7" t="str">
        <f aca="false">IF(A44&gt;'2 Phases'!$D$4,"",IF(A44=0,1,COUNTIF('2 Phases'!$M$7:$M$12,"&lt;"&amp;A44)+1))</f>
        <v/>
      </c>
      <c r="C44" s="7" t="str">
        <f aca="false">IF($B44="","",INDEX('2 Phases'!$C$7:$C$12,B44))</f>
        <v/>
      </c>
      <c r="D44" s="7" t="str">
        <f aca="false">IF($B44="","",A44-INDEX('2 Phases'!$L$7:$L$12,B44))</f>
        <v/>
      </c>
      <c r="E44" s="14" t="str">
        <f aca="false">IF($B44="","",IFERROR(IF(C44="Continuous",INDEX('2 Phases'!$N$7:$N$12,B44)*EXP((INDEX('2 Phases'!$P$7:$P$12,B44)-N(INDEX('2 Phases'!$H$7:$H$12,B44)))*D44),INDEX('2 Phases'!$N$7:$N$12,B44)*(IF(INDEX('2 Phases'!$E$7:$E$12,B44)="",INDEX('2 Phases'!$N$7:$N$12,B44),INDEX('2 Phases'!$E$7:$E$12,B44))/INDEX('2 Phases'!$N$7:$N$12,B44))^(D44/INDEX('2 Phases'!$D$7:$D$12,B44))),""))</f>
        <v/>
      </c>
      <c r="F44" s="15" t="n">
        <f aca="false">IF(OR($B44="",C44&lt;&gt;"Fed-batch",D44=0),0,IFERROR(N(INDEX('3 Feed regimes'!$B$6:$E$35,D44,MATCH(INDEX('2 Phases'!$F$7:$F$12,B44),'3 Feed regimes'!$B$4:$E$4,0)))*'1 Setup'!$B$5/100,0))</f>
        <v>0</v>
      </c>
      <c r="G44" s="15" t="str">
        <f aca="false">IF($B44="","",G43+F44)</f>
        <v/>
      </c>
      <c r="H44" s="14" t="str">
        <f aca="false">IF($B44="","",(E43+E44)/2)</f>
        <v/>
      </c>
      <c r="I44" s="15" t="str">
        <f aca="false">IF($B44="","",IF(C44="Continuous",N(INDEX('2 Phases'!$G$7:$G$12,B44))*G43,0))</f>
        <v/>
      </c>
      <c r="J44" s="15" t="str">
        <f aca="false">IF($B44="","",IF(C44="Continuous",N(INDEX('2 Phases'!$H$7:$H$12,B44))*G43,0))</f>
        <v/>
      </c>
      <c r="K44" s="15" t="str">
        <f aca="false">IF($B44="","",I44-J44)</f>
        <v/>
      </c>
      <c r="L44" s="14" t="str">
        <f aca="false">IF($B44="","",J44*1000*H44)</f>
        <v/>
      </c>
      <c r="M44" s="15" t="str">
        <f aca="false">IF($B44="","",M43+F44+I44)</f>
        <v/>
      </c>
      <c r="N44" s="15" t="str">
        <f aca="false">IF($B44="","",N43+K44)</f>
        <v/>
      </c>
      <c r="O44" s="15" t="str">
        <f aca="false">IF($B44="","",O43+J44)</f>
        <v/>
      </c>
      <c r="P44" s="14" t="str">
        <f aca="false">IF($B44="","",P43+L44)</f>
        <v/>
      </c>
      <c r="Q44" s="18" t="str">
        <f aca="false">IF(OR($B44="",Q43="",'1 Setup'!$C$10=""),"",IF(AND($C44="Continuous",N(INDEX('2 Phases'!$G$7:$G$12,B44))&gt;0),IF('1 Setup'!$G$10="","",MAX(0,('1 Setup'!$G$10+('1 Setup'!$H$10*'1 Setup'!$C$10*0.00000024*$H44)/N(INDEX('2 Phases'!$G$7:$G$12,B44)))+(((Q43*($G43-$F43)+N('1 Setup'!$F$10)*$F43)/$G43)-('1 Setup'!$G$10+('1 Setup'!$H$10*'1 Setup'!$C$10*0.00000024*$H44)/N(INDEX('2 Phases'!$G$7:$G$12,B44))))*EXP(-N(INDEX('2 Phases'!$G$7:$G$12,B44))))),MAX(0,((Q43*($G43-$F43)+N('1 Setup'!$F$10)*$F43)/$G43)+('1 Setup'!$H$10*'1 Setup'!$C$10*0.00000024*$H44))))</f>
        <v/>
      </c>
      <c r="R44" s="18" t="str">
        <f aca="false">IF(OR($B44="",R43="",'1 Setup'!$C$11=""),"",IF(AND($C44="Continuous",N(INDEX('2 Phases'!$G$7:$G$12,B44))&gt;0),IF('1 Setup'!$G$11="","",MAX(0,('1 Setup'!$G$11+('1 Setup'!$H$11*'1 Setup'!$C$11*0.00000024*$H44)/N(INDEX('2 Phases'!$G$7:$G$12,B44)))+(((R43*($G43-$F43)+N('1 Setup'!$F$11)*$F43)/$G43)-('1 Setup'!$G$11+('1 Setup'!$H$11*'1 Setup'!$C$11*0.00000024*$H44)/N(INDEX('2 Phases'!$G$7:$G$12,B44))))*EXP(-N(INDEX('2 Phases'!$G$7:$G$12,B44))))),MAX(0,((R43*($G43-$F43)+N('1 Setup'!$F$11)*$F43)/$G43)+('1 Setup'!$H$11*'1 Setup'!$C$11*0.00000024*$H44))))</f>
        <v/>
      </c>
      <c r="S44" s="18" t="str">
        <f aca="false">IF(OR($B44="",S43="",'1 Setup'!$C$12=""),"",IF(AND($C44="Continuous",N(INDEX('2 Phases'!$G$7:$G$12,B44))&gt;0),IF('1 Setup'!$G$12="","",MAX(0,('1 Setup'!$G$12+('1 Setup'!$H$12*'1 Setup'!$C$12*0.00000024*$H44)/N(INDEX('2 Phases'!$G$7:$G$12,B44)))+(((S43*($G43-$F43)+N('1 Setup'!$F$12)*$F43)/$G43)-('1 Setup'!$G$12+('1 Setup'!$H$12*'1 Setup'!$C$12*0.00000024*$H44)/N(INDEX('2 Phases'!$G$7:$G$12,B44))))*EXP(-N(INDEX('2 Phases'!$G$7:$G$12,B44))))),MAX(0,((S43*($G43-$F43)+N('1 Setup'!$F$12)*$F43)/$G43)+('1 Setup'!$H$12*'1 Setup'!$C$12*0.00000024*$H44))))</f>
        <v/>
      </c>
      <c r="T44" s="18" t="str">
        <f aca="false">IF(OR($B44="",T43="",'1 Setup'!$C$13=""),"",IF(AND($C44="Continuous",N(INDEX('2 Phases'!$G$7:$G$12,B44))&gt;0),IF('1 Setup'!$G$13="","",MAX(0,('1 Setup'!$G$13+('1 Setup'!$H$13*'1 Setup'!$C$13*0.00000024*$H44)/N(INDEX('2 Phases'!$G$7:$G$12,B44)))+(((T43*($G43-$F43)+N('1 Setup'!$F$13)*$F43)/$G43)-('1 Setup'!$G$13+('1 Setup'!$H$13*'1 Setup'!$C$13*0.00000024*$H44)/N(INDEX('2 Phases'!$G$7:$G$12,B44))))*EXP(-N(INDEX('2 Phases'!$G$7:$G$12,B44))))),MAX(0,((T43*($G43-$F43)+N('1 Setup'!$F$13)*$F43)/$G43)+('1 Setup'!$H$13*'1 Setup'!$C$13*0.00000024*$H44))))</f>
        <v/>
      </c>
      <c r="U44" s="18" t="str">
        <f aca="false">IF(OR($B44="",U43="",'1 Setup'!$C$14=""),"",IF(AND($C44="Continuous",N(INDEX('2 Phases'!$G$7:$G$12,B44))&gt;0),IF('1 Setup'!$G$14="","",MAX(0,('1 Setup'!$G$14+('1 Setup'!$H$14*'1 Setup'!$C$14*0.00000024*$H44)/N(INDEX('2 Phases'!$G$7:$G$12,B44)))+(((U43*($G43-$F43)+N('1 Setup'!$F$14)*$F43)/$G43)-('1 Setup'!$G$14+('1 Setup'!$H$14*'1 Setup'!$C$14*0.00000024*$H44)/N(INDEX('2 Phases'!$G$7:$G$12,B44))))*EXP(-N(INDEX('2 Phases'!$G$7:$G$12,B44))))),MAX(0,((U43*($G43-$F43)+N('1 Setup'!$F$14)*$F43)/$G43)+('1 Setup'!$H$14*'1 Setup'!$C$14*0.00000024*$H44))))</f>
        <v/>
      </c>
      <c r="V44" s="18" t="str">
        <f aca="false">IF($B44="","",E44/1000000*'1 Setup'!$B$7)</f>
        <v/>
      </c>
      <c r="W44" s="18" t="str">
        <f aca="false">IF($B44="","",V44*G44)</f>
        <v/>
      </c>
      <c r="X44" s="18" t="str">
        <f aca="false">IF($B44="","",P44*'1 Setup'!$B$7/1000000000)</f>
        <v/>
      </c>
      <c r="Y44" s="18" t="str">
        <f aca="false">IF($B44="","",L44*'1 Setup'!$B$7/1000000000)</f>
        <v/>
      </c>
    </row>
    <row r="45" customFormat="false" ht="15" hidden="false" customHeight="false" outlineLevel="0" collapsed="false">
      <c r="A45" s="7" t="n">
        <v>39</v>
      </c>
      <c r="B45" s="7" t="str">
        <f aca="false">IF(A45&gt;'2 Phases'!$D$4,"",IF(A45=0,1,COUNTIF('2 Phases'!$M$7:$M$12,"&lt;"&amp;A45)+1))</f>
        <v/>
      </c>
      <c r="C45" s="7" t="str">
        <f aca="false">IF($B45="","",INDEX('2 Phases'!$C$7:$C$12,B45))</f>
        <v/>
      </c>
      <c r="D45" s="7" t="str">
        <f aca="false">IF($B45="","",A45-INDEX('2 Phases'!$L$7:$L$12,B45))</f>
        <v/>
      </c>
      <c r="E45" s="14" t="str">
        <f aca="false">IF($B45="","",IFERROR(IF(C45="Continuous",INDEX('2 Phases'!$N$7:$N$12,B45)*EXP((INDEX('2 Phases'!$P$7:$P$12,B45)-N(INDEX('2 Phases'!$H$7:$H$12,B45)))*D45),INDEX('2 Phases'!$N$7:$N$12,B45)*(IF(INDEX('2 Phases'!$E$7:$E$12,B45)="",INDEX('2 Phases'!$N$7:$N$12,B45),INDEX('2 Phases'!$E$7:$E$12,B45))/INDEX('2 Phases'!$N$7:$N$12,B45))^(D45/INDEX('2 Phases'!$D$7:$D$12,B45))),""))</f>
        <v/>
      </c>
      <c r="F45" s="15" t="n">
        <f aca="false">IF(OR($B45="",C45&lt;&gt;"Fed-batch",D45=0),0,IFERROR(N(INDEX('3 Feed regimes'!$B$6:$E$35,D45,MATCH(INDEX('2 Phases'!$F$7:$F$12,B45),'3 Feed regimes'!$B$4:$E$4,0)))*'1 Setup'!$B$5/100,0))</f>
        <v>0</v>
      </c>
      <c r="G45" s="15" t="str">
        <f aca="false">IF($B45="","",G44+F45)</f>
        <v/>
      </c>
      <c r="H45" s="14" t="str">
        <f aca="false">IF($B45="","",(E44+E45)/2)</f>
        <v/>
      </c>
      <c r="I45" s="15" t="str">
        <f aca="false">IF($B45="","",IF(C45="Continuous",N(INDEX('2 Phases'!$G$7:$G$12,B45))*G44,0))</f>
        <v/>
      </c>
      <c r="J45" s="15" t="str">
        <f aca="false">IF($B45="","",IF(C45="Continuous",N(INDEX('2 Phases'!$H$7:$H$12,B45))*G44,0))</f>
        <v/>
      </c>
      <c r="K45" s="15" t="str">
        <f aca="false">IF($B45="","",I45-J45)</f>
        <v/>
      </c>
      <c r="L45" s="14" t="str">
        <f aca="false">IF($B45="","",J45*1000*H45)</f>
        <v/>
      </c>
      <c r="M45" s="15" t="str">
        <f aca="false">IF($B45="","",M44+F45+I45)</f>
        <v/>
      </c>
      <c r="N45" s="15" t="str">
        <f aca="false">IF($B45="","",N44+K45)</f>
        <v/>
      </c>
      <c r="O45" s="15" t="str">
        <f aca="false">IF($B45="","",O44+J45)</f>
        <v/>
      </c>
      <c r="P45" s="14" t="str">
        <f aca="false">IF($B45="","",P44+L45)</f>
        <v/>
      </c>
      <c r="Q45" s="18" t="str">
        <f aca="false">IF(OR($B45="",Q44="",'1 Setup'!$C$10=""),"",IF(AND($C45="Continuous",N(INDEX('2 Phases'!$G$7:$G$12,B45))&gt;0),IF('1 Setup'!$G$10="","",MAX(0,('1 Setup'!$G$10+('1 Setup'!$H$10*'1 Setup'!$C$10*0.00000024*$H45)/N(INDEX('2 Phases'!$G$7:$G$12,B45)))+(((Q44*($G44-$F44)+N('1 Setup'!$F$10)*$F44)/$G44)-('1 Setup'!$G$10+('1 Setup'!$H$10*'1 Setup'!$C$10*0.00000024*$H45)/N(INDEX('2 Phases'!$G$7:$G$12,B45))))*EXP(-N(INDEX('2 Phases'!$G$7:$G$12,B45))))),MAX(0,((Q44*($G44-$F44)+N('1 Setup'!$F$10)*$F44)/$G44)+('1 Setup'!$H$10*'1 Setup'!$C$10*0.00000024*$H45))))</f>
        <v/>
      </c>
      <c r="R45" s="18" t="str">
        <f aca="false">IF(OR($B45="",R44="",'1 Setup'!$C$11=""),"",IF(AND($C45="Continuous",N(INDEX('2 Phases'!$G$7:$G$12,B45))&gt;0),IF('1 Setup'!$G$11="","",MAX(0,('1 Setup'!$G$11+('1 Setup'!$H$11*'1 Setup'!$C$11*0.00000024*$H45)/N(INDEX('2 Phases'!$G$7:$G$12,B45)))+(((R44*($G44-$F44)+N('1 Setup'!$F$11)*$F44)/$G44)-('1 Setup'!$G$11+('1 Setup'!$H$11*'1 Setup'!$C$11*0.00000024*$H45)/N(INDEX('2 Phases'!$G$7:$G$12,B45))))*EXP(-N(INDEX('2 Phases'!$G$7:$G$12,B45))))),MAX(0,((R44*($G44-$F44)+N('1 Setup'!$F$11)*$F44)/$G44)+('1 Setup'!$H$11*'1 Setup'!$C$11*0.00000024*$H45))))</f>
        <v/>
      </c>
      <c r="S45" s="18" t="str">
        <f aca="false">IF(OR($B45="",S44="",'1 Setup'!$C$12=""),"",IF(AND($C45="Continuous",N(INDEX('2 Phases'!$G$7:$G$12,B45))&gt;0),IF('1 Setup'!$G$12="","",MAX(0,('1 Setup'!$G$12+('1 Setup'!$H$12*'1 Setup'!$C$12*0.00000024*$H45)/N(INDEX('2 Phases'!$G$7:$G$12,B45)))+(((S44*($G44-$F44)+N('1 Setup'!$F$12)*$F44)/$G44)-('1 Setup'!$G$12+('1 Setup'!$H$12*'1 Setup'!$C$12*0.00000024*$H45)/N(INDEX('2 Phases'!$G$7:$G$12,B45))))*EXP(-N(INDEX('2 Phases'!$G$7:$G$12,B45))))),MAX(0,((S44*($G44-$F44)+N('1 Setup'!$F$12)*$F44)/$G44)+('1 Setup'!$H$12*'1 Setup'!$C$12*0.00000024*$H45))))</f>
        <v/>
      </c>
      <c r="T45" s="18" t="str">
        <f aca="false">IF(OR($B45="",T44="",'1 Setup'!$C$13=""),"",IF(AND($C45="Continuous",N(INDEX('2 Phases'!$G$7:$G$12,B45))&gt;0),IF('1 Setup'!$G$13="","",MAX(0,('1 Setup'!$G$13+('1 Setup'!$H$13*'1 Setup'!$C$13*0.00000024*$H45)/N(INDEX('2 Phases'!$G$7:$G$12,B45)))+(((T44*($G44-$F44)+N('1 Setup'!$F$13)*$F44)/$G44)-('1 Setup'!$G$13+('1 Setup'!$H$13*'1 Setup'!$C$13*0.00000024*$H45)/N(INDEX('2 Phases'!$G$7:$G$12,B45))))*EXP(-N(INDEX('2 Phases'!$G$7:$G$12,B45))))),MAX(0,((T44*($G44-$F44)+N('1 Setup'!$F$13)*$F44)/$G44)+('1 Setup'!$H$13*'1 Setup'!$C$13*0.00000024*$H45))))</f>
        <v/>
      </c>
      <c r="U45" s="18" t="str">
        <f aca="false">IF(OR($B45="",U44="",'1 Setup'!$C$14=""),"",IF(AND($C45="Continuous",N(INDEX('2 Phases'!$G$7:$G$12,B45))&gt;0),IF('1 Setup'!$G$14="","",MAX(0,('1 Setup'!$G$14+('1 Setup'!$H$14*'1 Setup'!$C$14*0.00000024*$H45)/N(INDEX('2 Phases'!$G$7:$G$12,B45)))+(((U44*($G44-$F44)+N('1 Setup'!$F$14)*$F44)/$G44)-('1 Setup'!$G$14+('1 Setup'!$H$14*'1 Setup'!$C$14*0.00000024*$H45)/N(INDEX('2 Phases'!$G$7:$G$12,B45))))*EXP(-N(INDEX('2 Phases'!$G$7:$G$12,B45))))),MAX(0,((U44*($G44-$F44)+N('1 Setup'!$F$14)*$F44)/$G44)+('1 Setup'!$H$14*'1 Setup'!$C$14*0.00000024*$H45))))</f>
        <v/>
      </c>
      <c r="V45" s="18" t="str">
        <f aca="false">IF($B45="","",E45/1000000*'1 Setup'!$B$7)</f>
        <v/>
      </c>
      <c r="W45" s="18" t="str">
        <f aca="false">IF($B45="","",V45*G45)</f>
        <v/>
      </c>
      <c r="X45" s="18" t="str">
        <f aca="false">IF($B45="","",P45*'1 Setup'!$B$7/1000000000)</f>
        <v/>
      </c>
      <c r="Y45" s="18" t="str">
        <f aca="false">IF($B45="","",L45*'1 Setup'!$B$7/1000000000)</f>
        <v/>
      </c>
    </row>
    <row r="46" customFormat="false" ht="15" hidden="false" customHeight="false" outlineLevel="0" collapsed="false">
      <c r="A46" s="7" t="n">
        <v>40</v>
      </c>
      <c r="B46" s="7" t="str">
        <f aca="false">IF(A46&gt;'2 Phases'!$D$4,"",IF(A46=0,1,COUNTIF('2 Phases'!$M$7:$M$12,"&lt;"&amp;A46)+1))</f>
        <v/>
      </c>
      <c r="C46" s="7" t="str">
        <f aca="false">IF($B46="","",INDEX('2 Phases'!$C$7:$C$12,B46))</f>
        <v/>
      </c>
      <c r="D46" s="7" t="str">
        <f aca="false">IF($B46="","",A46-INDEX('2 Phases'!$L$7:$L$12,B46))</f>
        <v/>
      </c>
      <c r="E46" s="14" t="str">
        <f aca="false">IF($B46="","",IFERROR(IF(C46="Continuous",INDEX('2 Phases'!$N$7:$N$12,B46)*EXP((INDEX('2 Phases'!$P$7:$P$12,B46)-N(INDEX('2 Phases'!$H$7:$H$12,B46)))*D46),INDEX('2 Phases'!$N$7:$N$12,B46)*(IF(INDEX('2 Phases'!$E$7:$E$12,B46)="",INDEX('2 Phases'!$N$7:$N$12,B46),INDEX('2 Phases'!$E$7:$E$12,B46))/INDEX('2 Phases'!$N$7:$N$12,B46))^(D46/INDEX('2 Phases'!$D$7:$D$12,B46))),""))</f>
        <v/>
      </c>
      <c r="F46" s="15" t="n">
        <f aca="false">IF(OR($B46="",C46&lt;&gt;"Fed-batch",D46=0),0,IFERROR(N(INDEX('3 Feed regimes'!$B$6:$E$35,D46,MATCH(INDEX('2 Phases'!$F$7:$F$12,B46),'3 Feed regimes'!$B$4:$E$4,0)))*'1 Setup'!$B$5/100,0))</f>
        <v>0</v>
      </c>
      <c r="G46" s="15" t="str">
        <f aca="false">IF($B46="","",G45+F46)</f>
        <v/>
      </c>
      <c r="H46" s="14" t="str">
        <f aca="false">IF($B46="","",(E45+E46)/2)</f>
        <v/>
      </c>
      <c r="I46" s="15" t="str">
        <f aca="false">IF($B46="","",IF(C46="Continuous",N(INDEX('2 Phases'!$G$7:$G$12,B46))*G45,0))</f>
        <v/>
      </c>
      <c r="J46" s="15" t="str">
        <f aca="false">IF($B46="","",IF(C46="Continuous",N(INDEX('2 Phases'!$H$7:$H$12,B46))*G45,0))</f>
        <v/>
      </c>
      <c r="K46" s="15" t="str">
        <f aca="false">IF($B46="","",I46-J46)</f>
        <v/>
      </c>
      <c r="L46" s="14" t="str">
        <f aca="false">IF($B46="","",J46*1000*H46)</f>
        <v/>
      </c>
      <c r="M46" s="15" t="str">
        <f aca="false">IF($B46="","",M45+F46+I46)</f>
        <v/>
      </c>
      <c r="N46" s="15" t="str">
        <f aca="false">IF($B46="","",N45+K46)</f>
        <v/>
      </c>
      <c r="O46" s="15" t="str">
        <f aca="false">IF($B46="","",O45+J46)</f>
        <v/>
      </c>
      <c r="P46" s="14" t="str">
        <f aca="false">IF($B46="","",P45+L46)</f>
        <v/>
      </c>
      <c r="Q46" s="18" t="str">
        <f aca="false">IF(OR($B46="",Q45="",'1 Setup'!$C$10=""),"",IF(AND($C46="Continuous",N(INDEX('2 Phases'!$G$7:$G$12,B46))&gt;0),IF('1 Setup'!$G$10="","",MAX(0,('1 Setup'!$G$10+('1 Setup'!$H$10*'1 Setup'!$C$10*0.00000024*$H46)/N(INDEX('2 Phases'!$G$7:$G$12,B46)))+(((Q45*($G45-$F45)+N('1 Setup'!$F$10)*$F45)/$G45)-('1 Setup'!$G$10+('1 Setup'!$H$10*'1 Setup'!$C$10*0.00000024*$H46)/N(INDEX('2 Phases'!$G$7:$G$12,B46))))*EXP(-N(INDEX('2 Phases'!$G$7:$G$12,B46))))),MAX(0,((Q45*($G45-$F45)+N('1 Setup'!$F$10)*$F45)/$G45)+('1 Setup'!$H$10*'1 Setup'!$C$10*0.00000024*$H46))))</f>
        <v/>
      </c>
      <c r="R46" s="18" t="str">
        <f aca="false">IF(OR($B46="",R45="",'1 Setup'!$C$11=""),"",IF(AND($C46="Continuous",N(INDEX('2 Phases'!$G$7:$G$12,B46))&gt;0),IF('1 Setup'!$G$11="","",MAX(0,('1 Setup'!$G$11+('1 Setup'!$H$11*'1 Setup'!$C$11*0.00000024*$H46)/N(INDEX('2 Phases'!$G$7:$G$12,B46)))+(((R45*($G45-$F45)+N('1 Setup'!$F$11)*$F45)/$G45)-('1 Setup'!$G$11+('1 Setup'!$H$11*'1 Setup'!$C$11*0.00000024*$H46)/N(INDEX('2 Phases'!$G$7:$G$12,B46))))*EXP(-N(INDEX('2 Phases'!$G$7:$G$12,B46))))),MAX(0,((R45*($G45-$F45)+N('1 Setup'!$F$11)*$F45)/$G45)+('1 Setup'!$H$11*'1 Setup'!$C$11*0.00000024*$H46))))</f>
        <v/>
      </c>
      <c r="S46" s="18" t="str">
        <f aca="false">IF(OR($B46="",S45="",'1 Setup'!$C$12=""),"",IF(AND($C46="Continuous",N(INDEX('2 Phases'!$G$7:$G$12,B46))&gt;0),IF('1 Setup'!$G$12="","",MAX(0,('1 Setup'!$G$12+('1 Setup'!$H$12*'1 Setup'!$C$12*0.00000024*$H46)/N(INDEX('2 Phases'!$G$7:$G$12,B46)))+(((S45*($G45-$F45)+N('1 Setup'!$F$12)*$F45)/$G45)-('1 Setup'!$G$12+('1 Setup'!$H$12*'1 Setup'!$C$12*0.00000024*$H46)/N(INDEX('2 Phases'!$G$7:$G$12,B46))))*EXP(-N(INDEX('2 Phases'!$G$7:$G$12,B46))))),MAX(0,((S45*($G45-$F45)+N('1 Setup'!$F$12)*$F45)/$G45)+('1 Setup'!$H$12*'1 Setup'!$C$12*0.00000024*$H46))))</f>
        <v/>
      </c>
      <c r="T46" s="18" t="str">
        <f aca="false">IF(OR($B46="",T45="",'1 Setup'!$C$13=""),"",IF(AND($C46="Continuous",N(INDEX('2 Phases'!$G$7:$G$12,B46))&gt;0),IF('1 Setup'!$G$13="","",MAX(0,('1 Setup'!$G$13+('1 Setup'!$H$13*'1 Setup'!$C$13*0.00000024*$H46)/N(INDEX('2 Phases'!$G$7:$G$12,B46)))+(((T45*($G45-$F45)+N('1 Setup'!$F$13)*$F45)/$G45)-('1 Setup'!$G$13+('1 Setup'!$H$13*'1 Setup'!$C$13*0.00000024*$H46)/N(INDEX('2 Phases'!$G$7:$G$12,B46))))*EXP(-N(INDEX('2 Phases'!$G$7:$G$12,B46))))),MAX(0,((T45*($G45-$F45)+N('1 Setup'!$F$13)*$F45)/$G45)+('1 Setup'!$H$13*'1 Setup'!$C$13*0.00000024*$H46))))</f>
        <v/>
      </c>
      <c r="U46" s="18" t="str">
        <f aca="false">IF(OR($B46="",U45="",'1 Setup'!$C$14=""),"",IF(AND($C46="Continuous",N(INDEX('2 Phases'!$G$7:$G$12,B46))&gt;0),IF('1 Setup'!$G$14="","",MAX(0,('1 Setup'!$G$14+('1 Setup'!$H$14*'1 Setup'!$C$14*0.00000024*$H46)/N(INDEX('2 Phases'!$G$7:$G$12,B46)))+(((U45*($G45-$F45)+N('1 Setup'!$F$14)*$F45)/$G45)-('1 Setup'!$G$14+('1 Setup'!$H$14*'1 Setup'!$C$14*0.00000024*$H46)/N(INDEX('2 Phases'!$G$7:$G$12,B46))))*EXP(-N(INDEX('2 Phases'!$G$7:$G$12,B46))))),MAX(0,((U45*($G45-$F45)+N('1 Setup'!$F$14)*$F45)/$G45)+('1 Setup'!$H$14*'1 Setup'!$C$14*0.00000024*$H46))))</f>
        <v/>
      </c>
      <c r="V46" s="18" t="str">
        <f aca="false">IF($B46="","",E46/1000000*'1 Setup'!$B$7)</f>
        <v/>
      </c>
      <c r="W46" s="18" t="str">
        <f aca="false">IF($B46="","",V46*G46)</f>
        <v/>
      </c>
      <c r="X46" s="18" t="str">
        <f aca="false">IF($B46="","",P46*'1 Setup'!$B$7/1000000000)</f>
        <v/>
      </c>
      <c r="Y46" s="18" t="str">
        <f aca="false">IF($B46="","",L46*'1 Setup'!$B$7/1000000000)</f>
        <v/>
      </c>
    </row>
    <row r="47" customFormat="false" ht="15" hidden="false" customHeight="false" outlineLevel="0" collapsed="false">
      <c r="A47" s="7" t="n">
        <v>41</v>
      </c>
      <c r="B47" s="7" t="str">
        <f aca="false">IF(A47&gt;'2 Phases'!$D$4,"",IF(A47=0,1,COUNTIF('2 Phases'!$M$7:$M$12,"&lt;"&amp;A47)+1))</f>
        <v/>
      </c>
      <c r="C47" s="7" t="str">
        <f aca="false">IF($B47="","",INDEX('2 Phases'!$C$7:$C$12,B47))</f>
        <v/>
      </c>
      <c r="D47" s="7" t="str">
        <f aca="false">IF($B47="","",A47-INDEX('2 Phases'!$L$7:$L$12,B47))</f>
        <v/>
      </c>
      <c r="E47" s="14" t="str">
        <f aca="false">IF($B47="","",IFERROR(IF(C47="Continuous",INDEX('2 Phases'!$N$7:$N$12,B47)*EXP((INDEX('2 Phases'!$P$7:$P$12,B47)-N(INDEX('2 Phases'!$H$7:$H$12,B47)))*D47),INDEX('2 Phases'!$N$7:$N$12,B47)*(IF(INDEX('2 Phases'!$E$7:$E$12,B47)="",INDEX('2 Phases'!$N$7:$N$12,B47),INDEX('2 Phases'!$E$7:$E$12,B47))/INDEX('2 Phases'!$N$7:$N$12,B47))^(D47/INDEX('2 Phases'!$D$7:$D$12,B47))),""))</f>
        <v/>
      </c>
      <c r="F47" s="15" t="n">
        <f aca="false">IF(OR($B47="",C47&lt;&gt;"Fed-batch",D47=0),0,IFERROR(N(INDEX('3 Feed regimes'!$B$6:$E$35,D47,MATCH(INDEX('2 Phases'!$F$7:$F$12,B47),'3 Feed regimes'!$B$4:$E$4,0)))*'1 Setup'!$B$5/100,0))</f>
        <v>0</v>
      </c>
      <c r="G47" s="15" t="str">
        <f aca="false">IF($B47="","",G46+F47)</f>
        <v/>
      </c>
      <c r="H47" s="14" t="str">
        <f aca="false">IF($B47="","",(E46+E47)/2)</f>
        <v/>
      </c>
      <c r="I47" s="15" t="str">
        <f aca="false">IF($B47="","",IF(C47="Continuous",N(INDEX('2 Phases'!$G$7:$G$12,B47))*G46,0))</f>
        <v/>
      </c>
      <c r="J47" s="15" t="str">
        <f aca="false">IF($B47="","",IF(C47="Continuous",N(INDEX('2 Phases'!$H$7:$H$12,B47))*G46,0))</f>
        <v/>
      </c>
      <c r="K47" s="15" t="str">
        <f aca="false">IF($B47="","",I47-J47)</f>
        <v/>
      </c>
      <c r="L47" s="14" t="str">
        <f aca="false">IF($B47="","",J47*1000*H47)</f>
        <v/>
      </c>
      <c r="M47" s="15" t="str">
        <f aca="false">IF($B47="","",M46+F47+I47)</f>
        <v/>
      </c>
      <c r="N47" s="15" t="str">
        <f aca="false">IF($B47="","",N46+K47)</f>
        <v/>
      </c>
      <c r="O47" s="15" t="str">
        <f aca="false">IF($B47="","",O46+J47)</f>
        <v/>
      </c>
      <c r="P47" s="14" t="str">
        <f aca="false">IF($B47="","",P46+L47)</f>
        <v/>
      </c>
      <c r="Q47" s="18" t="str">
        <f aca="false">IF(OR($B47="",Q46="",'1 Setup'!$C$10=""),"",IF(AND($C47="Continuous",N(INDEX('2 Phases'!$G$7:$G$12,B47))&gt;0),IF('1 Setup'!$G$10="","",MAX(0,('1 Setup'!$G$10+('1 Setup'!$H$10*'1 Setup'!$C$10*0.00000024*$H47)/N(INDEX('2 Phases'!$G$7:$G$12,B47)))+(((Q46*($G46-$F46)+N('1 Setup'!$F$10)*$F46)/$G46)-('1 Setup'!$G$10+('1 Setup'!$H$10*'1 Setup'!$C$10*0.00000024*$H47)/N(INDEX('2 Phases'!$G$7:$G$12,B47))))*EXP(-N(INDEX('2 Phases'!$G$7:$G$12,B47))))),MAX(0,((Q46*($G46-$F46)+N('1 Setup'!$F$10)*$F46)/$G46)+('1 Setup'!$H$10*'1 Setup'!$C$10*0.00000024*$H47))))</f>
        <v/>
      </c>
      <c r="R47" s="18" t="str">
        <f aca="false">IF(OR($B47="",R46="",'1 Setup'!$C$11=""),"",IF(AND($C47="Continuous",N(INDEX('2 Phases'!$G$7:$G$12,B47))&gt;0),IF('1 Setup'!$G$11="","",MAX(0,('1 Setup'!$G$11+('1 Setup'!$H$11*'1 Setup'!$C$11*0.00000024*$H47)/N(INDEX('2 Phases'!$G$7:$G$12,B47)))+(((R46*($G46-$F46)+N('1 Setup'!$F$11)*$F46)/$G46)-('1 Setup'!$G$11+('1 Setup'!$H$11*'1 Setup'!$C$11*0.00000024*$H47)/N(INDEX('2 Phases'!$G$7:$G$12,B47))))*EXP(-N(INDEX('2 Phases'!$G$7:$G$12,B47))))),MAX(0,((R46*($G46-$F46)+N('1 Setup'!$F$11)*$F46)/$G46)+('1 Setup'!$H$11*'1 Setup'!$C$11*0.00000024*$H47))))</f>
        <v/>
      </c>
      <c r="S47" s="18" t="str">
        <f aca="false">IF(OR($B47="",S46="",'1 Setup'!$C$12=""),"",IF(AND($C47="Continuous",N(INDEX('2 Phases'!$G$7:$G$12,B47))&gt;0),IF('1 Setup'!$G$12="","",MAX(0,('1 Setup'!$G$12+('1 Setup'!$H$12*'1 Setup'!$C$12*0.00000024*$H47)/N(INDEX('2 Phases'!$G$7:$G$12,B47)))+(((S46*($G46-$F46)+N('1 Setup'!$F$12)*$F46)/$G46)-('1 Setup'!$G$12+('1 Setup'!$H$12*'1 Setup'!$C$12*0.00000024*$H47)/N(INDEX('2 Phases'!$G$7:$G$12,B47))))*EXP(-N(INDEX('2 Phases'!$G$7:$G$12,B47))))),MAX(0,((S46*($G46-$F46)+N('1 Setup'!$F$12)*$F46)/$G46)+('1 Setup'!$H$12*'1 Setup'!$C$12*0.00000024*$H47))))</f>
        <v/>
      </c>
      <c r="T47" s="18" t="str">
        <f aca="false">IF(OR($B47="",T46="",'1 Setup'!$C$13=""),"",IF(AND($C47="Continuous",N(INDEX('2 Phases'!$G$7:$G$12,B47))&gt;0),IF('1 Setup'!$G$13="","",MAX(0,('1 Setup'!$G$13+('1 Setup'!$H$13*'1 Setup'!$C$13*0.00000024*$H47)/N(INDEX('2 Phases'!$G$7:$G$12,B47)))+(((T46*($G46-$F46)+N('1 Setup'!$F$13)*$F46)/$G46)-('1 Setup'!$G$13+('1 Setup'!$H$13*'1 Setup'!$C$13*0.00000024*$H47)/N(INDEX('2 Phases'!$G$7:$G$12,B47))))*EXP(-N(INDEX('2 Phases'!$G$7:$G$12,B47))))),MAX(0,((T46*($G46-$F46)+N('1 Setup'!$F$13)*$F46)/$G46)+('1 Setup'!$H$13*'1 Setup'!$C$13*0.00000024*$H47))))</f>
        <v/>
      </c>
      <c r="U47" s="18" t="str">
        <f aca="false">IF(OR($B47="",U46="",'1 Setup'!$C$14=""),"",IF(AND($C47="Continuous",N(INDEX('2 Phases'!$G$7:$G$12,B47))&gt;0),IF('1 Setup'!$G$14="","",MAX(0,('1 Setup'!$G$14+('1 Setup'!$H$14*'1 Setup'!$C$14*0.00000024*$H47)/N(INDEX('2 Phases'!$G$7:$G$12,B47)))+(((U46*($G46-$F46)+N('1 Setup'!$F$14)*$F46)/$G46)-('1 Setup'!$G$14+('1 Setup'!$H$14*'1 Setup'!$C$14*0.00000024*$H47)/N(INDEX('2 Phases'!$G$7:$G$12,B47))))*EXP(-N(INDEX('2 Phases'!$G$7:$G$12,B47))))),MAX(0,((U46*($G46-$F46)+N('1 Setup'!$F$14)*$F46)/$G46)+('1 Setup'!$H$14*'1 Setup'!$C$14*0.00000024*$H47))))</f>
        <v/>
      </c>
      <c r="V47" s="18" t="str">
        <f aca="false">IF($B47="","",E47/1000000*'1 Setup'!$B$7)</f>
        <v/>
      </c>
      <c r="W47" s="18" t="str">
        <f aca="false">IF($B47="","",V47*G47)</f>
        <v/>
      </c>
      <c r="X47" s="18" t="str">
        <f aca="false">IF($B47="","",P47*'1 Setup'!$B$7/1000000000)</f>
        <v/>
      </c>
      <c r="Y47" s="18" t="str">
        <f aca="false">IF($B47="","",L47*'1 Setup'!$B$7/1000000000)</f>
        <v/>
      </c>
    </row>
    <row r="48" customFormat="false" ht="15" hidden="false" customHeight="false" outlineLevel="0" collapsed="false">
      <c r="A48" s="7" t="n">
        <v>42</v>
      </c>
      <c r="B48" s="7" t="str">
        <f aca="false">IF(A48&gt;'2 Phases'!$D$4,"",IF(A48=0,1,COUNTIF('2 Phases'!$M$7:$M$12,"&lt;"&amp;A48)+1))</f>
        <v/>
      </c>
      <c r="C48" s="7" t="str">
        <f aca="false">IF($B48="","",INDEX('2 Phases'!$C$7:$C$12,B48))</f>
        <v/>
      </c>
      <c r="D48" s="7" t="str">
        <f aca="false">IF($B48="","",A48-INDEX('2 Phases'!$L$7:$L$12,B48))</f>
        <v/>
      </c>
      <c r="E48" s="14" t="str">
        <f aca="false">IF($B48="","",IFERROR(IF(C48="Continuous",INDEX('2 Phases'!$N$7:$N$12,B48)*EXP((INDEX('2 Phases'!$P$7:$P$12,B48)-N(INDEX('2 Phases'!$H$7:$H$12,B48)))*D48),INDEX('2 Phases'!$N$7:$N$12,B48)*(IF(INDEX('2 Phases'!$E$7:$E$12,B48)="",INDEX('2 Phases'!$N$7:$N$12,B48),INDEX('2 Phases'!$E$7:$E$12,B48))/INDEX('2 Phases'!$N$7:$N$12,B48))^(D48/INDEX('2 Phases'!$D$7:$D$12,B48))),""))</f>
        <v/>
      </c>
      <c r="F48" s="15" t="n">
        <f aca="false">IF(OR($B48="",C48&lt;&gt;"Fed-batch",D48=0),0,IFERROR(N(INDEX('3 Feed regimes'!$B$6:$E$35,D48,MATCH(INDEX('2 Phases'!$F$7:$F$12,B48),'3 Feed regimes'!$B$4:$E$4,0)))*'1 Setup'!$B$5/100,0))</f>
        <v>0</v>
      </c>
      <c r="G48" s="15" t="str">
        <f aca="false">IF($B48="","",G47+F48)</f>
        <v/>
      </c>
      <c r="H48" s="14" t="str">
        <f aca="false">IF($B48="","",(E47+E48)/2)</f>
        <v/>
      </c>
      <c r="I48" s="15" t="str">
        <f aca="false">IF($B48="","",IF(C48="Continuous",N(INDEX('2 Phases'!$G$7:$G$12,B48))*G47,0))</f>
        <v/>
      </c>
      <c r="J48" s="15" t="str">
        <f aca="false">IF($B48="","",IF(C48="Continuous",N(INDEX('2 Phases'!$H$7:$H$12,B48))*G47,0))</f>
        <v/>
      </c>
      <c r="K48" s="15" t="str">
        <f aca="false">IF($B48="","",I48-J48)</f>
        <v/>
      </c>
      <c r="L48" s="14" t="str">
        <f aca="false">IF($B48="","",J48*1000*H48)</f>
        <v/>
      </c>
      <c r="M48" s="15" t="str">
        <f aca="false">IF($B48="","",M47+F48+I48)</f>
        <v/>
      </c>
      <c r="N48" s="15" t="str">
        <f aca="false">IF($B48="","",N47+K48)</f>
        <v/>
      </c>
      <c r="O48" s="15" t="str">
        <f aca="false">IF($B48="","",O47+J48)</f>
        <v/>
      </c>
      <c r="P48" s="14" t="str">
        <f aca="false">IF($B48="","",P47+L48)</f>
        <v/>
      </c>
      <c r="Q48" s="18" t="str">
        <f aca="false">IF(OR($B48="",Q47="",'1 Setup'!$C$10=""),"",IF(AND($C48="Continuous",N(INDEX('2 Phases'!$G$7:$G$12,B48))&gt;0),IF('1 Setup'!$G$10="","",MAX(0,('1 Setup'!$G$10+('1 Setup'!$H$10*'1 Setup'!$C$10*0.00000024*$H48)/N(INDEX('2 Phases'!$G$7:$G$12,B48)))+(((Q47*($G47-$F47)+N('1 Setup'!$F$10)*$F47)/$G47)-('1 Setup'!$G$10+('1 Setup'!$H$10*'1 Setup'!$C$10*0.00000024*$H48)/N(INDEX('2 Phases'!$G$7:$G$12,B48))))*EXP(-N(INDEX('2 Phases'!$G$7:$G$12,B48))))),MAX(0,((Q47*($G47-$F47)+N('1 Setup'!$F$10)*$F47)/$G47)+('1 Setup'!$H$10*'1 Setup'!$C$10*0.00000024*$H48))))</f>
        <v/>
      </c>
      <c r="R48" s="18" t="str">
        <f aca="false">IF(OR($B48="",R47="",'1 Setup'!$C$11=""),"",IF(AND($C48="Continuous",N(INDEX('2 Phases'!$G$7:$G$12,B48))&gt;0),IF('1 Setup'!$G$11="","",MAX(0,('1 Setup'!$G$11+('1 Setup'!$H$11*'1 Setup'!$C$11*0.00000024*$H48)/N(INDEX('2 Phases'!$G$7:$G$12,B48)))+(((R47*($G47-$F47)+N('1 Setup'!$F$11)*$F47)/$G47)-('1 Setup'!$G$11+('1 Setup'!$H$11*'1 Setup'!$C$11*0.00000024*$H48)/N(INDEX('2 Phases'!$G$7:$G$12,B48))))*EXP(-N(INDEX('2 Phases'!$G$7:$G$12,B48))))),MAX(0,((R47*($G47-$F47)+N('1 Setup'!$F$11)*$F47)/$G47)+('1 Setup'!$H$11*'1 Setup'!$C$11*0.00000024*$H48))))</f>
        <v/>
      </c>
      <c r="S48" s="18" t="str">
        <f aca="false">IF(OR($B48="",S47="",'1 Setup'!$C$12=""),"",IF(AND($C48="Continuous",N(INDEX('2 Phases'!$G$7:$G$12,B48))&gt;0),IF('1 Setup'!$G$12="","",MAX(0,('1 Setup'!$G$12+('1 Setup'!$H$12*'1 Setup'!$C$12*0.00000024*$H48)/N(INDEX('2 Phases'!$G$7:$G$12,B48)))+(((S47*($G47-$F47)+N('1 Setup'!$F$12)*$F47)/$G47)-('1 Setup'!$G$12+('1 Setup'!$H$12*'1 Setup'!$C$12*0.00000024*$H48)/N(INDEX('2 Phases'!$G$7:$G$12,B48))))*EXP(-N(INDEX('2 Phases'!$G$7:$G$12,B48))))),MAX(0,((S47*($G47-$F47)+N('1 Setup'!$F$12)*$F47)/$G47)+('1 Setup'!$H$12*'1 Setup'!$C$12*0.00000024*$H48))))</f>
        <v/>
      </c>
      <c r="T48" s="18" t="str">
        <f aca="false">IF(OR($B48="",T47="",'1 Setup'!$C$13=""),"",IF(AND($C48="Continuous",N(INDEX('2 Phases'!$G$7:$G$12,B48))&gt;0),IF('1 Setup'!$G$13="","",MAX(0,('1 Setup'!$G$13+('1 Setup'!$H$13*'1 Setup'!$C$13*0.00000024*$H48)/N(INDEX('2 Phases'!$G$7:$G$12,B48)))+(((T47*($G47-$F47)+N('1 Setup'!$F$13)*$F47)/$G47)-('1 Setup'!$G$13+('1 Setup'!$H$13*'1 Setup'!$C$13*0.00000024*$H48)/N(INDEX('2 Phases'!$G$7:$G$12,B48))))*EXP(-N(INDEX('2 Phases'!$G$7:$G$12,B48))))),MAX(0,((T47*($G47-$F47)+N('1 Setup'!$F$13)*$F47)/$G47)+('1 Setup'!$H$13*'1 Setup'!$C$13*0.00000024*$H48))))</f>
        <v/>
      </c>
      <c r="U48" s="18" t="str">
        <f aca="false">IF(OR($B48="",U47="",'1 Setup'!$C$14=""),"",IF(AND($C48="Continuous",N(INDEX('2 Phases'!$G$7:$G$12,B48))&gt;0),IF('1 Setup'!$G$14="","",MAX(0,('1 Setup'!$G$14+('1 Setup'!$H$14*'1 Setup'!$C$14*0.00000024*$H48)/N(INDEX('2 Phases'!$G$7:$G$12,B48)))+(((U47*($G47-$F47)+N('1 Setup'!$F$14)*$F47)/$G47)-('1 Setup'!$G$14+('1 Setup'!$H$14*'1 Setup'!$C$14*0.00000024*$H48)/N(INDEX('2 Phases'!$G$7:$G$12,B48))))*EXP(-N(INDEX('2 Phases'!$G$7:$G$12,B48))))),MAX(0,((U47*($G47-$F47)+N('1 Setup'!$F$14)*$F47)/$G47)+('1 Setup'!$H$14*'1 Setup'!$C$14*0.00000024*$H48))))</f>
        <v/>
      </c>
      <c r="V48" s="18" t="str">
        <f aca="false">IF($B48="","",E48/1000000*'1 Setup'!$B$7)</f>
        <v/>
      </c>
      <c r="W48" s="18" t="str">
        <f aca="false">IF($B48="","",V48*G48)</f>
        <v/>
      </c>
      <c r="X48" s="18" t="str">
        <f aca="false">IF($B48="","",P48*'1 Setup'!$B$7/1000000000)</f>
        <v/>
      </c>
      <c r="Y48" s="18" t="str">
        <f aca="false">IF($B48="","",L48*'1 Setup'!$B$7/1000000000)</f>
        <v/>
      </c>
    </row>
    <row r="49" customFormat="false" ht="15" hidden="false" customHeight="false" outlineLevel="0" collapsed="false">
      <c r="A49" s="7" t="n">
        <v>43</v>
      </c>
      <c r="B49" s="7" t="str">
        <f aca="false">IF(A49&gt;'2 Phases'!$D$4,"",IF(A49=0,1,COUNTIF('2 Phases'!$M$7:$M$12,"&lt;"&amp;A49)+1))</f>
        <v/>
      </c>
      <c r="C49" s="7" t="str">
        <f aca="false">IF($B49="","",INDEX('2 Phases'!$C$7:$C$12,B49))</f>
        <v/>
      </c>
      <c r="D49" s="7" t="str">
        <f aca="false">IF($B49="","",A49-INDEX('2 Phases'!$L$7:$L$12,B49))</f>
        <v/>
      </c>
      <c r="E49" s="14" t="str">
        <f aca="false">IF($B49="","",IFERROR(IF(C49="Continuous",INDEX('2 Phases'!$N$7:$N$12,B49)*EXP((INDEX('2 Phases'!$P$7:$P$12,B49)-N(INDEX('2 Phases'!$H$7:$H$12,B49)))*D49),INDEX('2 Phases'!$N$7:$N$12,B49)*(IF(INDEX('2 Phases'!$E$7:$E$12,B49)="",INDEX('2 Phases'!$N$7:$N$12,B49),INDEX('2 Phases'!$E$7:$E$12,B49))/INDEX('2 Phases'!$N$7:$N$12,B49))^(D49/INDEX('2 Phases'!$D$7:$D$12,B49))),""))</f>
        <v/>
      </c>
      <c r="F49" s="15" t="n">
        <f aca="false">IF(OR($B49="",C49&lt;&gt;"Fed-batch",D49=0),0,IFERROR(N(INDEX('3 Feed regimes'!$B$6:$E$35,D49,MATCH(INDEX('2 Phases'!$F$7:$F$12,B49),'3 Feed regimes'!$B$4:$E$4,0)))*'1 Setup'!$B$5/100,0))</f>
        <v>0</v>
      </c>
      <c r="G49" s="15" t="str">
        <f aca="false">IF($B49="","",G48+F49)</f>
        <v/>
      </c>
      <c r="H49" s="14" t="str">
        <f aca="false">IF($B49="","",(E48+E49)/2)</f>
        <v/>
      </c>
      <c r="I49" s="15" t="str">
        <f aca="false">IF($B49="","",IF(C49="Continuous",N(INDEX('2 Phases'!$G$7:$G$12,B49))*G48,0))</f>
        <v/>
      </c>
      <c r="J49" s="15" t="str">
        <f aca="false">IF($B49="","",IF(C49="Continuous",N(INDEX('2 Phases'!$H$7:$H$12,B49))*G48,0))</f>
        <v/>
      </c>
      <c r="K49" s="15" t="str">
        <f aca="false">IF($B49="","",I49-J49)</f>
        <v/>
      </c>
      <c r="L49" s="14" t="str">
        <f aca="false">IF($B49="","",J49*1000*H49)</f>
        <v/>
      </c>
      <c r="M49" s="15" t="str">
        <f aca="false">IF($B49="","",M48+F49+I49)</f>
        <v/>
      </c>
      <c r="N49" s="15" t="str">
        <f aca="false">IF($B49="","",N48+K49)</f>
        <v/>
      </c>
      <c r="O49" s="15" t="str">
        <f aca="false">IF($B49="","",O48+J49)</f>
        <v/>
      </c>
      <c r="P49" s="14" t="str">
        <f aca="false">IF($B49="","",P48+L49)</f>
        <v/>
      </c>
      <c r="Q49" s="18" t="str">
        <f aca="false">IF(OR($B49="",Q48="",'1 Setup'!$C$10=""),"",IF(AND($C49="Continuous",N(INDEX('2 Phases'!$G$7:$G$12,B49))&gt;0),IF('1 Setup'!$G$10="","",MAX(0,('1 Setup'!$G$10+('1 Setup'!$H$10*'1 Setup'!$C$10*0.00000024*$H49)/N(INDEX('2 Phases'!$G$7:$G$12,B49)))+(((Q48*($G48-$F48)+N('1 Setup'!$F$10)*$F48)/$G48)-('1 Setup'!$G$10+('1 Setup'!$H$10*'1 Setup'!$C$10*0.00000024*$H49)/N(INDEX('2 Phases'!$G$7:$G$12,B49))))*EXP(-N(INDEX('2 Phases'!$G$7:$G$12,B49))))),MAX(0,((Q48*($G48-$F48)+N('1 Setup'!$F$10)*$F48)/$G48)+('1 Setup'!$H$10*'1 Setup'!$C$10*0.00000024*$H49))))</f>
        <v/>
      </c>
      <c r="R49" s="18" t="str">
        <f aca="false">IF(OR($B49="",R48="",'1 Setup'!$C$11=""),"",IF(AND($C49="Continuous",N(INDEX('2 Phases'!$G$7:$G$12,B49))&gt;0),IF('1 Setup'!$G$11="","",MAX(0,('1 Setup'!$G$11+('1 Setup'!$H$11*'1 Setup'!$C$11*0.00000024*$H49)/N(INDEX('2 Phases'!$G$7:$G$12,B49)))+(((R48*($G48-$F48)+N('1 Setup'!$F$11)*$F48)/$G48)-('1 Setup'!$G$11+('1 Setup'!$H$11*'1 Setup'!$C$11*0.00000024*$H49)/N(INDEX('2 Phases'!$G$7:$G$12,B49))))*EXP(-N(INDEX('2 Phases'!$G$7:$G$12,B49))))),MAX(0,((R48*($G48-$F48)+N('1 Setup'!$F$11)*$F48)/$G48)+('1 Setup'!$H$11*'1 Setup'!$C$11*0.00000024*$H49))))</f>
        <v/>
      </c>
      <c r="S49" s="18" t="str">
        <f aca="false">IF(OR($B49="",S48="",'1 Setup'!$C$12=""),"",IF(AND($C49="Continuous",N(INDEX('2 Phases'!$G$7:$G$12,B49))&gt;0),IF('1 Setup'!$G$12="","",MAX(0,('1 Setup'!$G$12+('1 Setup'!$H$12*'1 Setup'!$C$12*0.00000024*$H49)/N(INDEX('2 Phases'!$G$7:$G$12,B49)))+(((S48*($G48-$F48)+N('1 Setup'!$F$12)*$F48)/$G48)-('1 Setup'!$G$12+('1 Setup'!$H$12*'1 Setup'!$C$12*0.00000024*$H49)/N(INDEX('2 Phases'!$G$7:$G$12,B49))))*EXP(-N(INDEX('2 Phases'!$G$7:$G$12,B49))))),MAX(0,((S48*($G48-$F48)+N('1 Setup'!$F$12)*$F48)/$G48)+('1 Setup'!$H$12*'1 Setup'!$C$12*0.00000024*$H49))))</f>
        <v/>
      </c>
      <c r="T49" s="18" t="str">
        <f aca="false">IF(OR($B49="",T48="",'1 Setup'!$C$13=""),"",IF(AND($C49="Continuous",N(INDEX('2 Phases'!$G$7:$G$12,B49))&gt;0),IF('1 Setup'!$G$13="","",MAX(0,('1 Setup'!$G$13+('1 Setup'!$H$13*'1 Setup'!$C$13*0.00000024*$H49)/N(INDEX('2 Phases'!$G$7:$G$12,B49)))+(((T48*($G48-$F48)+N('1 Setup'!$F$13)*$F48)/$G48)-('1 Setup'!$G$13+('1 Setup'!$H$13*'1 Setup'!$C$13*0.00000024*$H49)/N(INDEX('2 Phases'!$G$7:$G$12,B49))))*EXP(-N(INDEX('2 Phases'!$G$7:$G$12,B49))))),MAX(0,((T48*($G48-$F48)+N('1 Setup'!$F$13)*$F48)/$G48)+('1 Setup'!$H$13*'1 Setup'!$C$13*0.00000024*$H49))))</f>
        <v/>
      </c>
      <c r="U49" s="18" t="str">
        <f aca="false">IF(OR($B49="",U48="",'1 Setup'!$C$14=""),"",IF(AND($C49="Continuous",N(INDEX('2 Phases'!$G$7:$G$12,B49))&gt;0),IF('1 Setup'!$G$14="","",MAX(0,('1 Setup'!$G$14+('1 Setup'!$H$14*'1 Setup'!$C$14*0.00000024*$H49)/N(INDEX('2 Phases'!$G$7:$G$12,B49)))+(((U48*($G48-$F48)+N('1 Setup'!$F$14)*$F48)/$G48)-('1 Setup'!$G$14+('1 Setup'!$H$14*'1 Setup'!$C$14*0.00000024*$H49)/N(INDEX('2 Phases'!$G$7:$G$12,B49))))*EXP(-N(INDEX('2 Phases'!$G$7:$G$12,B49))))),MAX(0,((U48*($G48-$F48)+N('1 Setup'!$F$14)*$F48)/$G48)+('1 Setup'!$H$14*'1 Setup'!$C$14*0.00000024*$H49))))</f>
        <v/>
      </c>
      <c r="V49" s="18" t="str">
        <f aca="false">IF($B49="","",E49/1000000*'1 Setup'!$B$7)</f>
        <v/>
      </c>
      <c r="W49" s="18" t="str">
        <f aca="false">IF($B49="","",V49*G49)</f>
        <v/>
      </c>
      <c r="X49" s="18" t="str">
        <f aca="false">IF($B49="","",P49*'1 Setup'!$B$7/1000000000)</f>
        <v/>
      </c>
      <c r="Y49" s="18" t="str">
        <f aca="false">IF($B49="","",L49*'1 Setup'!$B$7/1000000000)</f>
        <v/>
      </c>
    </row>
    <row r="50" customFormat="false" ht="15" hidden="false" customHeight="false" outlineLevel="0" collapsed="false">
      <c r="A50" s="7" t="n">
        <v>44</v>
      </c>
      <c r="B50" s="7" t="str">
        <f aca="false">IF(A50&gt;'2 Phases'!$D$4,"",IF(A50=0,1,COUNTIF('2 Phases'!$M$7:$M$12,"&lt;"&amp;A50)+1))</f>
        <v/>
      </c>
      <c r="C50" s="7" t="str">
        <f aca="false">IF($B50="","",INDEX('2 Phases'!$C$7:$C$12,B50))</f>
        <v/>
      </c>
      <c r="D50" s="7" t="str">
        <f aca="false">IF($B50="","",A50-INDEX('2 Phases'!$L$7:$L$12,B50))</f>
        <v/>
      </c>
      <c r="E50" s="14" t="str">
        <f aca="false">IF($B50="","",IFERROR(IF(C50="Continuous",INDEX('2 Phases'!$N$7:$N$12,B50)*EXP((INDEX('2 Phases'!$P$7:$P$12,B50)-N(INDEX('2 Phases'!$H$7:$H$12,B50)))*D50),INDEX('2 Phases'!$N$7:$N$12,B50)*(IF(INDEX('2 Phases'!$E$7:$E$12,B50)="",INDEX('2 Phases'!$N$7:$N$12,B50),INDEX('2 Phases'!$E$7:$E$12,B50))/INDEX('2 Phases'!$N$7:$N$12,B50))^(D50/INDEX('2 Phases'!$D$7:$D$12,B50))),""))</f>
        <v/>
      </c>
      <c r="F50" s="15" t="n">
        <f aca="false">IF(OR($B50="",C50&lt;&gt;"Fed-batch",D50=0),0,IFERROR(N(INDEX('3 Feed regimes'!$B$6:$E$35,D50,MATCH(INDEX('2 Phases'!$F$7:$F$12,B50),'3 Feed regimes'!$B$4:$E$4,0)))*'1 Setup'!$B$5/100,0))</f>
        <v>0</v>
      </c>
      <c r="G50" s="15" t="str">
        <f aca="false">IF($B50="","",G49+F50)</f>
        <v/>
      </c>
      <c r="H50" s="14" t="str">
        <f aca="false">IF($B50="","",(E49+E50)/2)</f>
        <v/>
      </c>
      <c r="I50" s="15" t="str">
        <f aca="false">IF($B50="","",IF(C50="Continuous",N(INDEX('2 Phases'!$G$7:$G$12,B50))*G49,0))</f>
        <v/>
      </c>
      <c r="J50" s="15" t="str">
        <f aca="false">IF($B50="","",IF(C50="Continuous",N(INDEX('2 Phases'!$H$7:$H$12,B50))*G49,0))</f>
        <v/>
      </c>
      <c r="K50" s="15" t="str">
        <f aca="false">IF($B50="","",I50-J50)</f>
        <v/>
      </c>
      <c r="L50" s="14" t="str">
        <f aca="false">IF($B50="","",J50*1000*H50)</f>
        <v/>
      </c>
      <c r="M50" s="15" t="str">
        <f aca="false">IF($B50="","",M49+F50+I50)</f>
        <v/>
      </c>
      <c r="N50" s="15" t="str">
        <f aca="false">IF($B50="","",N49+K50)</f>
        <v/>
      </c>
      <c r="O50" s="15" t="str">
        <f aca="false">IF($B50="","",O49+J50)</f>
        <v/>
      </c>
      <c r="P50" s="14" t="str">
        <f aca="false">IF($B50="","",P49+L50)</f>
        <v/>
      </c>
      <c r="Q50" s="18" t="str">
        <f aca="false">IF(OR($B50="",Q49="",'1 Setup'!$C$10=""),"",IF(AND($C50="Continuous",N(INDEX('2 Phases'!$G$7:$G$12,B50))&gt;0),IF('1 Setup'!$G$10="","",MAX(0,('1 Setup'!$G$10+('1 Setup'!$H$10*'1 Setup'!$C$10*0.00000024*$H50)/N(INDEX('2 Phases'!$G$7:$G$12,B50)))+(((Q49*($G49-$F49)+N('1 Setup'!$F$10)*$F49)/$G49)-('1 Setup'!$G$10+('1 Setup'!$H$10*'1 Setup'!$C$10*0.00000024*$H50)/N(INDEX('2 Phases'!$G$7:$G$12,B50))))*EXP(-N(INDEX('2 Phases'!$G$7:$G$12,B50))))),MAX(0,((Q49*($G49-$F49)+N('1 Setup'!$F$10)*$F49)/$G49)+('1 Setup'!$H$10*'1 Setup'!$C$10*0.00000024*$H50))))</f>
        <v/>
      </c>
      <c r="R50" s="18" t="str">
        <f aca="false">IF(OR($B50="",R49="",'1 Setup'!$C$11=""),"",IF(AND($C50="Continuous",N(INDEX('2 Phases'!$G$7:$G$12,B50))&gt;0),IF('1 Setup'!$G$11="","",MAX(0,('1 Setup'!$G$11+('1 Setup'!$H$11*'1 Setup'!$C$11*0.00000024*$H50)/N(INDEX('2 Phases'!$G$7:$G$12,B50)))+(((R49*($G49-$F49)+N('1 Setup'!$F$11)*$F49)/$G49)-('1 Setup'!$G$11+('1 Setup'!$H$11*'1 Setup'!$C$11*0.00000024*$H50)/N(INDEX('2 Phases'!$G$7:$G$12,B50))))*EXP(-N(INDEX('2 Phases'!$G$7:$G$12,B50))))),MAX(0,((R49*($G49-$F49)+N('1 Setup'!$F$11)*$F49)/$G49)+('1 Setup'!$H$11*'1 Setup'!$C$11*0.00000024*$H50))))</f>
        <v/>
      </c>
      <c r="S50" s="18" t="str">
        <f aca="false">IF(OR($B50="",S49="",'1 Setup'!$C$12=""),"",IF(AND($C50="Continuous",N(INDEX('2 Phases'!$G$7:$G$12,B50))&gt;0),IF('1 Setup'!$G$12="","",MAX(0,('1 Setup'!$G$12+('1 Setup'!$H$12*'1 Setup'!$C$12*0.00000024*$H50)/N(INDEX('2 Phases'!$G$7:$G$12,B50)))+(((S49*($G49-$F49)+N('1 Setup'!$F$12)*$F49)/$G49)-('1 Setup'!$G$12+('1 Setup'!$H$12*'1 Setup'!$C$12*0.00000024*$H50)/N(INDEX('2 Phases'!$G$7:$G$12,B50))))*EXP(-N(INDEX('2 Phases'!$G$7:$G$12,B50))))),MAX(0,((S49*($G49-$F49)+N('1 Setup'!$F$12)*$F49)/$G49)+('1 Setup'!$H$12*'1 Setup'!$C$12*0.00000024*$H50))))</f>
        <v/>
      </c>
      <c r="T50" s="18" t="str">
        <f aca="false">IF(OR($B50="",T49="",'1 Setup'!$C$13=""),"",IF(AND($C50="Continuous",N(INDEX('2 Phases'!$G$7:$G$12,B50))&gt;0),IF('1 Setup'!$G$13="","",MAX(0,('1 Setup'!$G$13+('1 Setup'!$H$13*'1 Setup'!$C$13*0.00000024*$H50)/N(INDEX('2 Phases'!$G$7:$G$12,B50)))+(((T49*($G49-$F49)+N('1 Setup'!$F$13)*$F49)/$G49)-('1 Setup'!$G$13+('1 Setup'!$H$13*'1 Setup'!$C$13*0.00000024*$H50)/N(INDEX('2 Phases'!$G$7:$G$12,B50))))*EXP(-N(INDEX('2 Phases'!$G$7:$G$12,B50))))),MAX(0,((T49*($G49-$F49)+N('1 Setup'!$F$13)*$F49)/$G49)+('1 Setup'!$H$13*'1 Setup'!$C$13*0.00000024*$H50))))</f>
        <v/>
      </c>
      <c r="U50" s="18" t="str">
        <f aca="false">IF(OR($B50="",U49="",'1 Setup'!$C$14=""),"",IF(AND($C50="Continuous",N(INDEX('2 Phases'!$G$7:$G$12,B50))&gt;0),IF('1 Setup'!$G$14="","",MAX(0,('1 Setup'!$G$14+('1 Setup'!$H$14*'1 Setup'!$C$14*0.00000024*$H50)/N(INDEX('2 Phases'!$G$7:$G$12,B50)))+(((U49*($G49-$F49)+N('1 Setup'!$F$14)*$F49)/$G49)-('1 Setup'!$G$14+('1 Setup'!$H$14*'1 Setup'!$C$14*0.00000024*$H50)/N(INDEX('2 Phases'!$G$7:$G$12,B50))))*EXP(-N(INDEX('2 Phases'!$G$7:$G$12,B50))))),MAX(0,((U49*($G49-$F49)+N('1 Setup'!$F$14)*$F49)/$G49)+('1 Setup'!$H$14*'1 Setup'!$C$14*0.00000024*$H50))))</f>
        <v/>
      </c>
      <c r="V50" s="18" t="str">
        <f aca="false">IF($B50="","",E50/1000000*'1 Setup'!$B$7)</f>
        <v/>
      </c>
      <c r="W50" s="18" t="str">
        <f aca="false">IF($B50="","",V50*G50)</f>
        <v/>
      </c>
      <c r="X50" s="18" t="str">
        <f aca="false">IF($B50="","",P50*'1 Setup'!$B$7/1000000000)</f>
        <v/>
      </c>
      <c r="Y50" s="18" t="str">
        <f aca="false">IF($B50="","",L50*'1 Setup'!$B$7/1000000000)</f>
        <v/>
      </c>
    </row>
    <row r="51" customFormat="false" ht="15" hidden="false" customHeight="false" outlineLevel="0" collapsed="false">
      <c r="A51" s="7" t="n">
        <v>45</v>
      </c>
      <c r="B51" s="7" t="str">
        <f aca="false">IF(A51&gt;'2 Phases'!$D$4,"",IF(A51=0,1,COUNTIF('2 Phases'!$M$7:$M$12,"&lt;"&amp;A51)+1))</f>
        <v/>
      </c>
      <c r="C51" s="7" t="str">
        <f aca="false">IF($B51="","",INDEX('2 Phases'!$C$7:$C$12,B51))</f>
        <v/>
      </c>
      <c r="D51" s="7" t="str">
        <f aca="false">IF($B51="","",A51-INDEX('2 Phases'!$L$7:$L$12,B51))</f>
        <v/>
      </c>
      <c r="E51" s="14" t="str">
        <f aca="false">IF($B51="","",IFERROR(IF(C51="Continuous",INDEX('2 Phases'!$N$7:$N$12,B51)*EXP((INDEX('2 Phases'!$P$7:$P$12,B51)-N(INDEX('2 Phases'!$H$7:$H$12,B51)))*D51),INDEX('2 Phases'!$N$7:$N$12,B51)*(IF(INDEX('2 Phases'!$E$7:$E$12,B51)="",INDEX('2 Phases'!$N$7:$N$12,B51),INDEX('2 Phases'!$E$7:$E$12,B51))/INDEX('2 Phases'!$N$7:$N$12,B51))^(D51/INDEX('2 Phases'!$D$7:$D$12,B51))),""))</f>
        <v/>
      </c>
      <c r="F51" s="15" t="n">
        <f aca="false">IF(OR($B51="",C51&lt;&gt;"Fed-batch",D51=0),0,IFERROR(N(INDEX('3 Feed regimes'!$B$6:$E$35,D51,MATCH(INDEX('2 Phases'!$F$7:$F$12,B51),'3 Feed regimes'!$B$4:$E$4,0)))*'1 Setup'!$B$5/100,0))</f>
        <v>0</v>
      </c>
      <c r="G51" s="15" t="str">
        <f aca="false">IF($B51="","",G50+F51)</f>
        <v/>
      </c>
      <c r="H51" s="14" t="str">
        <f aca="false">IF($B51="","",(E50+E51)/2)</f>
        <v/>
      </c>
      <c r="I51" s="15" t="str">
        <f aca="false">IF($B51="","",IF(C51="Continuous",N(INDEX('2 Phases'!$G$7:$G$12,B51))*G50,0))</f>
        <v/>
      </c>
      <c r="J51" s="15" t="str">
        <f aca="false">IF($B51="","",IF(C51="Continuous",N(INDEX('2 Phases'!$H$7:$H$12,B51))*G50,0))</f>
        <v/>
      </c>
      <c r="K51" s="15" t="str">
        <f aca="false">IF($B51="","",I51-J51)</f>
        <v/>
      </c>
      <c r="L51" s="14" t="str">
        <f aca="false">IF($B51="","",J51*1000*H51)</f>
        <v/>
      </c>
      <c r="M51" s="15" t="str">
        <f aca="false">IF($B51="","",M50+F51+I51)</f>
        <v/>
      </c>
      <c r="N51" s="15" t="str">
        <f aca="false">IF($B51="","",N50+K51)</f>
        <v/>
      </c>
      <c r="O51" s="15" t="str">
        <f aca="false">IF($B51="","",O50+J51)</f>
        <v/>
      </c>
      <c r="P51" s="14" t="str">
        <f aca="false">IF($B51="","",P50+L51)</f>
        <v/>
      </c>
      <c r="Q51" s="18" t="str">
        <f aca="false">IF(OR($B51="",Q50="",'1 Setup'!$C$10=""),"",IF(AND($C51="Continuous",N(INDEX('2 Phases'!$G$7:$G$12,B51))&gt;0),IF('1 Setup'!$G$10="","",MAX(0,('1 Setup'!$G$10+('1 Setup'!$H$10*'1 Setup'!$C$10*0.00000024*$H51)/N(INDEX('2 Phases'!$G$7:$G$12,B51)))+(((Q50*($G50-$F50)+N('1 Setup'!$F$10)*$F50)/$G50)-('1 Setup'!$G$10+('1 Setup'!$H$10*'1 Setup'!$C$10*0.00000024*$H51)/N(INDEX('2 Phases'!$G$7:$G$12,B51))))*EXP(-N(INDEX('2 Phases'!$G$7:$G$12,B51))))),MAX(0,((Q50*($G50-$F50)+N('1 Setup'!$F$10)*$F50)/$G50)+('1 Setup'!$H$10*'1 Setup'!$C$10*0.00000024*$H51))))</f>
        <v/>
      </c>
      <c r="R51" s="18" t="str">
        <f aca="false">IF(OR($B51="",R50="",'1 Setup'!$C$11=""),"",IF(AND($C51="Continuous",N(INDEX('2 Phases'!$G$7:$G$12,B51))&gt;0),IF('1 Setup'!$G$11="","",MAX(0,('1 Setup'!$G$11+('1 Setup'!$H$11*'1 Setup'!$C$11*0.00000024*$H51)/N(INDEX('2 Phases'!$G$7:$G$12,B51)))+(((R50*($G50-$F50)+N('1 Setup'!$F$11)*$F50)/$G50)-('1 Setup'!$G$11+('1 Setup'!$H$11*'1 Setup'!$C$11*0.00000024*$H51)/N(INDEX('2 Phases'!$G$7:$G$12,B51))))*EXP(-N(INDEX('2 Phases'!$G$7:$G$12,B51))))),MAX(0,((R50*($G50-$F50)+N('1 Setup'!$F$11)*$F50)/$G50)+('1 Setup'!$H$11*'1 Setup'!$C$11*0.00000024*$H51))))</f>
        <v/>
      </c>
      <c r="S51" s="18" t="str">
        <f aca="false">IF(OR($B51="",S50="",'1 Setup'!$C$12=""),"",IF(AND($C51="Continuous",N(INDEX('2 Phases'!$G$7:$G$12,B51))&gt;0),IF('1 Setup'!$G$12="","",MAX(0,('1 Setup'!$G$12+('1 Setup'!$H$12*'1 Setup'!$C$12*0.00000024*$H51)/N(INDEX('2 Phases'!$G$7:$G$12,B51)))+(((S50*($G50-$F50)+N('1 Setup'!$F$12)*$F50)/$G50)-('1 Setup'!$G$12+('1 Setup'!$H$12*'1 Setup'!$C$12*0.00000024*$H51)/N(INDEX('2 Phases'!$G$7:$G$12,B51))))*EXP(-N(INDEX('2 Phases'!$G$7:$G$12,B51))))),MAX(0,((S50*($G50-$F50)+N('1 Setup'!$F$12)*$F50)/$G50)+('1 Setup'!$H$12*'1 Setup'!$C$12*0.00000024*$H51))))</f>
        <v/>
      </c>
      <c r="T51" s="18" t="str">
        <f aca="false">IF(OR($B51="",T50="",'1 Setup'!$C$13=""),"",IF(AND($C51="Continuous",N(INDEX('2 Phases'!$G$7:$G$12,B51))&gt;0),IF('1 Setup'!$G$13="","",MAX(0,('1 Setup'!$G$13+('1 Setup'!$H$13*'1 Setup'!$C$13*0.00000024*$H51)/N(INDEX('2 Phases'!$G$7:$G$12,B51)))+(((T50*($G50-$F50)+N('1 Setup'!$F$13)*$F50)/$G50)-('1 Setup'!$G$13+('1 Setup'!$H$13*'1 Setup'!$C$13*0.00000024*$H51)/N(INDEX('2 Phases'!$G$7:$G$12,B51))))*EXP(-N(INDEX('2 Phases'!$G$7:$G$12,B51))))),MAX(0,((T50*($G50-$F50)+N('1 Setup'!$F$13)*$F50)/$G50)+('1 Setup'!$H$13*'1 Setup'!$C$13*0.00000024*$H51))))</f>
        <v/>
      </c>
      <c r="U51" s="18" t="str">
        <f aca="false">IF(OR($B51="",U50="",'1 Setup'!$C$14=""),"",IF(AND($C51="Continuous",N(INDEX('2 Phases'!$G$7:$G$12,B51))&gt;0),IF('1 Setup'!$G$14="","",MAX(0,('1 Setup'!$G$14+('1 Setup'!$H$14*'1 Setup'!$C$14*0.00000024*$H51)/N(INDEX('2 Phases'!$G$7:$G$12,B51)))+(((U50*($G50-$F50)+N('1 Setup'!$F$14)*$F50)/$G50)-('1 Setup'!$G$14+('1 Setup'!$H$14*'1 Setup'!$C$14*0.00000024*$H51)/N(INDEX('2 Phases'!$G$7:$G$12,B51))))*EXP(-N(INDEX('2 Phases'!$G$7:$G$12,B51))))),MAX(0,((U50*($G50-$F50)+N('1 Setup'!$F$14)*$F50)/$G50)+('1 Setup'!$H$14*'1 Setup'!$C$14*0.00000024*$H51))))</f>
        <v/>
      </c>
      <c r="V51" s="18" t="str">
        <f aca="false">IF($B51="","",E51/1000000*'1 Setup'!$B$7)</f>
        <v/>
      </c>
      <c r="W51" s="18" t="str">
        <f aca="false">IF($B51="","",V51*G51)</f>
        <v/>
      </c>
      <c r="X51" s="18" t="str">
        <f aca="false">IF($B51="","",P51*'1 Setup'!$B$7/1000000000)</f>
        <v/>
      </c>
      <c r="Y51" s="18" t="str">
        <f aca="false">IF($B51="","",L51*'1 Setup'!$B$7/1000000000)</f>
        <v/>
      </c>
    </row>
    <row r="52" customFormat="false" ht="15" hidden="false" customHeight="false" outlineLevel="0" collapsed="false">
      <c r="A52" s="7" t="n">
        <v>46</v>
      </c>
      <c r="B52" s="7" t="str">
        <f aca="false">IF(A52&gt;'2 Phases'!$D$4,"",IF(A52=0,1,COUNTIF('2 Phases'!$M$7:$M$12,"&lt;"&amp;A52)+1))</f>
        <v/>
      </c>
      <c r="C52" s="7" t="str">
        <f aca="false">IF($B52="","",INDEX('2 Phases'!$C$7:$C$12,B52))</f>
        <v/>
      </c>
      <c r="D52" s="7" t="str">
        <f aca="false">IF($B52="","",A52-INDEX('2 Phases'!$L$7:$L$12,B52))</f>
        <v/>
      </c>
      <c r="E52" s="14" t="str">
        <f aca="false">IF($B52="","",IFERROR(IF(C52="Continuous",INDEX('2 Phases'!$N$7:$N$12,B52)*EXP((INDEX('2 Phases'!$P$7:$P$12,B52)-N(INDEX('2 Phases'!$H$7:$H$12,B52)))*D52),INDEX('2 Phases'!$N$7:$N$12,B52)*(IF(INDEX('2 Phases'!$E$7:$E$12,B52)="",INDEX('2 Phases'!$N$7:$N$12,B52),INDEX('2 Phases'!$E$7:$E$12,B52))/INDEX('2 Phases'!$N$7:$N$12,B52))^(D52/INDEX('2 Phases'!$D$7:$D$12,B52))),""))</f>
        <v/>
      </c>
      <c r="F52" s="15" t="n">
        <f aca="false">IF(OR($B52="",C52&lt;&gt;"Fed-batch",D52=0),0,IFERROR(N(INDEX('3 Feed regimes'!$B$6:$E$35,D52,MATCH(INDEX('2 Phases'!$F$7:$F$12,B52),'3 Feed regimes'!$B$4:$E$4,0)))*'1 Setup'!$B$5/100,0))</f>
        <v>0</v>
      </c>
      <c r="G52" s="15" t="str">
        <f aca="false">IF($B52="","",G51+F52)</f>
        <v/>
      </c>
      <c r="H52" s="14" t="str">
        <f aca="false">IF($B52="","",(E51+E52)/2)</f>
        <v/>
      </c>
      <c r="I52" s="15" t="str">
        <f aca="false">IF($B52="","",IF(C52="Continuous",N(INDEX('2 Phases'!$G$7:$G$12,B52))*G51,0))</f>
        <v/>
      </c>
      <c r="J52" s="15" t="str">
        <f aca="false">IF($B52="","",IF(C52="Continuous",N(INDEX('2 Phases'!$H$7:$H$12,B52))*G51,0))</f>
        <v/>
      </c>
      <c r="K52" s="15" t="str">
        <f aca="false">IF($B52="","",I52-J52)</f>
        <v/>
      </c>
      <c r="L52" s="14" t="str">
        <f aca="false">IF($B52="","",J52*1000*H52)</f>
        <v/>
      </c>
      <c r="M52" s="15" t="str">
        <f aca="false">IF($B52="","",M51+F52+I52)</f>
        <v/>
      </c>
      <c r="N52" s="15" t="str">
        <f aca="false">IF($B52="","",N51+K52)</f>
        <v/>
      </c>
      <c r="O52" s="15" t="str">
        <f aca="false">IF($B52="","",O51+J52)</f>
        <v/>
      </c>
      <c r="P52" s="14" t="str">
        <f aca="false">IF($B52="","",P51+L52)</f>
        <v/>
      </c>
      <c r="Q52" s="18" t="str">
        <f aca="false">IF(OR($B52="",Q51="",'1 Setup'!$C$10=""),"",IF(AND($C52="Continuous",N(INDEX('2 Phases'!$G$7:$G$12,B52))&gt;0),IF('1 Setup'!$G$10="","",MAX(0,('1 Setup'!$G$10+('1 Setup'!$H$10*'1 Setup'!$C$10*0.00000024*$H52)/N(INDEX('2 Phases'!$G$7:$G$12,B52)))+(((Q51*($G51-$F51)+N('1 Setup'!$F$10)*$F51)/$G51)-('1 Setup'!$G$10+('1 Setup'!$H$10*'1 Setup'!$C$10*0.00000024*$H52)/N(INDEX('2 Phases'!$G$7:$G$12,B52))))*EXP(-N(INDEX('2 Phases'!$G$7:$G$12,B52))))),MAX(0,((Q51*($G51-$F51)+N('1 Setup'!$F$10)*$F51)/$G51)+('1 Setup'!$H$10*'1 Setup'!$C$10*0.00000024*$H52))))</f>
        <v/>
      </c>
      <c r="R52" s="18" t="str">
        <f aca="false">IF(OR($B52="",R51="",'1 Setup'!$C$11=""),"",IF(AND($C52="Continuous",N(INDEX('2 Phases'!$G$7:$G$12,B52))&gt;0),IF('1 Setup'!$G$11="","",MAX(0,('1 Setup'!$G$11+('1 Setup'!$H$11*'1 Setup'!$C$11*0.00000024*$H52)/N(INDEX('2 Phases'!$G$7:$G$12,B52)))+(((R51*($G51-$F51)+N('1 Setup'!$F$11)*$F51)/$G51)-('1 Setup'!$G$11+('1 Setup'!$H$11*'1 Setup'!$C$11*0.00000024*$H52)/N(INDEX('2 Phases'!$G$7:$G$12,B52))))*EXP(-N(INDEX('2 Phases'!$G$7:$G$12,B52))))),MAX(0,((R51*($G51-$F51)+N('1 Setup'!$F$11)*$F51)/$G51)+('1 Setup'!$H$11*'1 Setup'!$C$11*0.00000024*$H52))))</f>
        <v/>
      </c>
      <c r="S52" s="18" t="str">
        <f aca="false">IF(OR($B52="",S51="",'1 Setup'!$C$12=""),"",IF(AND($C52="Continuous",N(INDEX('2 Phases'!$G$7:$G$12,B52))&gt;0),IF('1 Setup'!$G$12="","",MAX(0,('1 Setup'!$G$12+('1 Setup'!$H$12*'1 Setup'!$C$12*0.00000024*$H52)/N(INDEX('2 Phases'!$G$7:$G$12,B52)))+(((S51*($G51-$F51)+N('1 Setup'!$F$12)*$F51)/$G51)-('1 Setup'!$G$12+('1 Setup'!$H$12*'1 Setup'!$C$12*0.00000024*$H52)/N(INDEX('2 Phases'!$G$7:$G$12,B52))))*EXP(-N(INDEX('2 Phases'!$G$7:$G$12,B52))))),MAX(0,((S51*($G51-$F51)+N('1 Setup'!$F$12)*$F51)/$G51)+('1 Setup'!$H$12*'1 Setup'!$C$12*0.00000024*$H52))))</f>
        <v/>
      </c>
      <c r="T52" s="18" t="str">
        <f aca="false">IF(OR($B52="",T51="",'1 Setup'!$C$13=""),"",IF(AND($C52="Continuous",N(INDEX('2 Phases'!$G$7:$G$12,B52))&gt;0),IF('1 Setup'!$G$13="","",MAX(0,('1 Setup'!$G$13+('1 Setup'!$H$13*'1 Setup'!$C$13*0.00000024*$H52)/N(INDEX('2 Phases'!$G$7:$G$12,B52)))+(((T51*($G51-$F51)+N('1 Setup'!$F$13)*$F51)/$G51)-('1 Setup'!$G$13+('1 Setup'!$H$13*'1 Setup'!$C$13*0.00000024*$H52)/N(INDEX('2 Phases'!$G$7:$G$12,B52))))*EXP(-N(INDEX('2 Phases'!$G$7:$G$12,B52))))),MAX(0,((T51*($G51-$F51)+N('1 Setup'!$F$13)*$F51)/$G51)+('1 Setup'!$H$13*'1 Setup'!$C$13*0.00000024*$H52))))</f>
        <v/>
      </c>
      <c r="U52" s="18" t="str">
        <f aca="false">IF(OR($B52="",U51="",'1 Setup'!$C$14=""),"",IF(AND($C52="Continuous",N(INDEX('2 Phases'!$G$7:$G$12,B52))&gt;0),IF('1 Setup'!$G$14="","",MAX(0,('1 Setup'!$G$14+('1 Setup'!$H$14*'1 Setup'!$C$14*0.00000024*$H52)/N(INDEX('2 Phases'!$G$7:$G$12,B52)))+(((U51*($G51-$F51)+N('1 Setup'!$F$14)*$F51)/$G51)-('1 Setup'!$G$14+('1 Setup'!$H$14*'1 Setup'!$C$14*0.00000024*$H52)/N(INDEX('2 Phases'!$G$7:$G$12,B52))))*EXP(-N(INDEX('2 Phases'!$G$7:$G$12,B52))))),MAX(0,((U51*($G51-$F51)+N('1 Setup'!$F$14)*$F51)/$G51)+('1 Setup'!$H$14*'1 Setup'!$C$14*0.00000024*$H52))))</f>
        <v/>
      </c>
      <c r="V52" s="18" t="str">
        <f aca="false">IF($B52="","",E52/1000000*'1 Setup'!$B$7)</f>
        <v/>
      </c>
      <c r="W52" s="18" t="str">
        <f aca="false">IF($B52="","",V52*G52)</f>
        <v/>
      </c>
      <c r="X52" s="18" t="str">
        <f aca="false">IF($B52="","",P52*'1 Setup'!$B$7/1000000000)</f>
        <v/>
      </c>
      <c r="Y52" s="18" t="str">
        <f aca="false">IF($B52="","",L52*'1 Setup'!$B$7/1000000000)</f>
        <v/>
      </c>
    </row>
    <row r="53" customFormat="false" ht="15" hidden="false" customHeight="false" outlineLevel="0" collapsed="false">
      <c r="A53" s="7" t="n">
        <v>47</v>
      </c>
      <c r="B53" s="7" t="str">
        <f aca="false">IF(A53&gt;'2 Phases'!$D$4,"",IF(A53=0,1,COUNTIF('2 Phases'!$M$7:$M$12,"&lt;"&amp;A53)+1))</f>
        <v/>
      </c>
      <c r="C53" s="7" t="str">
        <f aca="false">IF($B53="","",INDEX('2 Phases'!$C$7:$C$12,B53))</f>
        <v/>
      </c>
      <c r="D53" s="7" t="str">
        <f aca="false">IF($B53="","",A53-INDEX('2 Phases'!$L$7:$L$12,B53))</f>
        <v/>
      </c>
      <c r="E53" s="14" t="str">
        <f aca="false">IF($B53="","",IFERROR(IF(C53="Continuous",INDEX('2 Phases'!$N$7:$N$12,B53)*EXP((INDEX('2 Phases'!$P$7:$P$12,B53)-N(INDEX('2 Phases'!$H$7:$H$12,B53)))*D53),INDEX('2 Phases'!$N$7:$N$12,B53)*(IF(INDEX('2 Phases'!$E$7:$E$12,B53)="",INDEX('2 Phases'!$N$7:$N$12,B53),INDEX('2 Phases'!$E$7:$E$12,B53))/INDEX('2 Phases'!$N$7:$N$12,B53))^(D53/INDEX('2 Phases'!$D$7:$D$12,B53))),""))</f>
        <v/>
      </c>
      <c r="F53" s="15" t="n">
        <f aca="false">IF(OR($B53="",C53&lt;&gt;"Fed-batch",D53=0),0,IFERROR(N(INDEX('3 Feed regimes'!$B$6:$E$35,D53,MATCH(INDEX('2 Phases'!$F$7:$F$12,B53),'3 Feed regimes'!$B$4:$E$4,0)))*'1 Setup'!$B$5/100,0))</f>
        <v>0</v>
      </c>
      <c r="G53" s="15" t="str">
        <f aca="false">IF($B53="","",G52+F53)</f>
        <v/>
      </c>
      <c r="H53" s="14" t="str">
        <f aca="false">IF($B53="","",(E52+E53)/2)</f>
        <v/>
      </c>
      <c r="I53" s="15" t="str">
        <f aca="false">IF($B53="","",IF(C53="Continuous",N(INDEX('2 Phases'!$G$7:$G$12,B53))*G52,0))</f>
        <v/>
      </c>
      <c r="J53" s="15" t="str">
        <f aca="false">IF($B53="","",IF(C53="Continuous",N(INDEX('2 Phases'!$H$7:$H$12,B53))*G52,0))</f>
        <v/>
      </c>
      <c r="K53" s="15" t="str">
        <f aca="false">IF($B53="","",I53-J53)</f>
        <v/>
      </c>
      <c r="L53" s="14" t="str">
        <f aca="false">IF($B53="","",J53*1000*H53)</f>
        <v/>
      </c>
      <c r="M53" s="15" t="str">
        <f aca="false">IF($B53="","",M52+F53+I53)</f>
        <v/>
      </c>
      <c r="N53" s="15" t="str">
        <f aca="false">IF($B53="","",N52+K53)</f>
        <v/>
      </c>
      <c r="O53" s="15" t="str">
        <f aca="false">IF($B53="","",O52+J53)</f>
        <v/>
      </c>
      <c r="P53" s="14" t="str">
        <f aca="false">IF($B53="","",P52+L53)</f>
        <v/>
      </c>
      <c r="Q53" s="18" t="str">
        <f aca="false">IF(OR($B53="",Q52="",'1 Setup'!$C$10=""),"",IF(AND($C53="Continuous",N(INDEX('2 Phases'!$G$7:$G$12,B53))&gt;0),IF('1 Setup'!$G$10="","",MAX(0,('1 Setup'!$G$10+('1 Setup'!$H$10*'1 Setup'!$C$10*0.00000024*$H53)/N(INDEX('2 Phases'!$G$7:$G$12,B53)))+(((Q52*($G52-$F52)+N('1 Setup'!$F$10)*$F52)/$G52)-('1 Setup'!$G$10+('1 Setup'!$H$10*'1 Setup'!$C$10*0.00000024*$H53)/N(INDEX('2 Phases'!$G$7:$G$12,B53))))*EXP(-N(INDEX('2 Phases'!$G$7:$G$12,B53))))),MAX(0,((Q52*($G52-$F52)+N('1 Setup'!$F$10)*$F52)/$G52)+('1 Setup'!$H$10*'1 Setup'!$C$10*0.00000024*$H53))))</f>
        <v/>
      </c>
      <c r="R53" s="18" t="str">
        <f aca="false">IF(OR($B53="",R52="",'1 Setup'!$C$11=""),"",IF(AND($C53="Continuous",N(INDEX('2 Phases'!$G$7:$G$12,B53))&gt;0),IF('1 Setup'!$G$11="","",MAX(0,('1 Setup'!$G$11+('1 Setup'!$H$11*'1 Setup'!$C$11*0.00000024*$H53)/N(INDEX('2 Phases'!$G$7:$G$12,B53)))+(((R52*($G52-$F52)+N('1 Setup'!$F$11)*$F52)/$G52)-('1 Setup'!$G$11+('1 Setup'!$H$11*'1 Setup'!$C$11*0.00000024*$H53)/N(INDEX('2 Phases'!$G$7:$G$12,B53))))*EXP(-N(INDEX('2 Phases'!$G$7:$G$12,B53))))),MAX(0,((R52*($G52-$F52)+N('1 Setup'!$F$11)*$F52)/$G52)+('1 Setup'!$H$11*'1 Setup'!$C$11*0.00000024*$H53))))</f>
        <v/>
      </c>
      <c r="S53" s="18" t="str">
        <f aca="false">IF(OR($B53="",S52="",'1 Setup'!$C$12=""),"",IF(AND($C53="Continuous",N(INDEX('2 Phases'!$G$7:$G$12,B53))&gt;0),IF('1 Setup'!$G$12="","",MAX(0,('1 Setup'!$G$12+('1 Setup'!$H$12*'1 Setup'!$C$12*0.00000024*$H53)/N(INDEX('2 Phases'!$G$7:$G$12,B53)))+(((S52*($G52-$F52)+N('1 Setup'!$F$12)*$F52)/$G52)-('1 Setup'!$G$12+('1 Setup'!$H$12*'1 Setup'!$C$12*0.00000024*$H53)/N(INDEX('2 Phases'!$G$7:$G$12,B53))))*EXP(-N(INDEX('2 Phases'!$G$7:$G$12,B53))))),MAX(0,((S52*($G52-$F52)+N('1 Setup'!$F$12)*$F52)/$G52)+('1 Setup'!$H$12*'1 Setup'!$C$12*0.00000024*$H53))))</f>
        <v/>
      </c>
      <c r="T53" s="18" t="str">
        <f aca="false">IF(OR($B53="",T52="",'1 Setup'!$C$13=""),"",IF(AND($C53="Continuous",N(INDEX('2 Phases'!$G$7:$G$12,B53))&gt;0),IF('1 Setup'!$G$13="","",MAX(0,('1 Setup'!$G$13+('1 Setup'!$H$13*'1 Setup'!$C$13*0.00000024*$H53)/N(INDEX('2 Phases'!$G$7:$G$12,B53)))+(((T52*($G52-$F52)+N('1 Setup'!$F$13)*$F52)/$G52)-('1 Setup'!$G$13+('1 Setup'!$H$13*'1 Setup'!$C$13*0.00000024*$H53)/N(INDEX('2 Phases'!$G$7:$G$12,B53))))*EXP(-N(INDEX('2 Phases'!$G$7:$G$12,B53))))),MAX(0,((T52*($G52-$F52)+N('1 Setup'!$F$13)*$F52)/$G52)+('1 Setup'!$H$13*'1 Setup'!$C$13*0.00000024*$H53))))</f>
        <v/>
      </c>
      <c r="U53" s="18" t="str">
        <f aca="false">IF(OR($B53="",U52="",'1 Setup'!$C$14=""),"",IF(AND($C53="Continuous",N(INDEX('2 Phases'!$G$7:$G$12,B53))&gt;0),IF('1 Setup'!$G$14="","",MAX(0,('1 Setup'!$G$14+('1 Setup'!$H$14*'1 Setup'!$C$14*0.00000024*$H53)/N(INDEX('2 Phases'!$G$7:$G$12,B53)))+(((U52*($G52-$F52)+N('1 Setup'!$F$14)*$F52)/$G52)-('1 Setup'!$G$14+('1 Setup'!$H$14*'1 Setup'!$C$14*0.00000024*$H53)/N(INDEX('2 Phases'!$G$7:$G$12,B53))))*EXP(-N(INDEX('2 Phases'!$G$7:$G$12,B53))))),MAX(0,((U52*($G52-$F52)+N('1 Setup'!$F$14)*$F52)/$G52)+('1 Setup'!$H$14*'1 Setup'!$C$14*0.00000024*$H53))))</f>
        <v/>
      </c>
      <c r="V53" s="18" t="str">
        <f aca="false">IF($B53="","",E53/1000000*'1 Setup'!$B$7)</f>
        <v/>
      </c>
      <c r="W53" s="18" t="str">
        <f aca="false">IF($B53="","",V53*G53)</f>
        <v/>
      </c>
      <c r="X53" s="18" t="str">
        <f aca="false">IF($B53="","",P53*'1 Setup'!$B$7/1000000000)</f>
        <v/>
      </c>
      <c r="Y53" s="18" t="str">
        <f aca="false">IF($B53="","",L53*'1 Setup'!$B$7/1000000000)</f>
        <v/>
      </c>
    </row>
    <row r="54" customFormat="false" ht="15" hidden="false" customHeight="false" outlineLevel="0" collapsed="false">
      <c r="A54" s="7" t="n">
        <v>48</v>
      </c>
      <c r="B54" s="7" t="str">
        <f aca="false">IF(A54&gt;'2 Phases'!$D$4,"",IF(A54=0,1,COUNTIF('2 Phases'!$M$7:$M$12,"&lt;"&amp;A54)+1))</f>
        <v/>
      </c>
      <c r="C54" s="7" t="str">
        <f aca="false">IF($B54="","",INDEX('2 Phases'!$C$7:$C$12,B54))</f>
        <v/>
      </c>
      <c r="D54" s="7" t="str">
        <f aca="false">IF($B54="","",A54-INDEX('2 Phases'!$L$7:$L$12,B54))</f>
        <v/>
      </c>
      <c r="E54" s="14" t="str">
        <f aca="false">IF($B54="","",IFERROR(IF(C54="Continuous",INDEX('2 Phases'!$N$7:$N$12,B54)*EXP((INDEX('2 Phases'!$P$7:$P$12,B54)-N(INDEX('2 Phases'!$H$7:$H$12,B54)))*D54),INDEX('2 Phases'!$N$7:$N$12,B54)*(IF(INDEX('2 Phases'!$E$7:$E$12,B54)="",INDEX('2 Phases'!$N$7:$N$12,B54),INDEX('2 Phases'!$E$7:$E$12,B54))/INDEX('2 Phases'!$N$7:$N$12,B54))^(D54/INDEX('2 Phases'!$D$7:$D$12,B54))),""))</f>
        <v/>
      </c>
      <c r="F54" s="15" t="n">
        <f aca="false">IF(OR($B54="",C54&lt;&gt;"Fed-batch",D54=0),0,IFERROR(N(INDEX('3 Feed regimes'!$B$6:$E$35,D54,MATCH(INDEX('2 Phases'!$F$7:$F$12,B54),'3 Feed regimes'!$B$4:$E$4,0)))*'1 Setup'!$B$5/100,0))</f>
        <v>0</v>
      </c>
      <c r="G54" s="15" t="str">
        <f aca="false">IF($B54="","",G53+F54)</f>
        <v/>
      </c>
      <c r="H54" s="14" t="str">
        <f aca="false">IF($B54="","",(E53+E54)/2)</f>
        <v/>
      </c>
      <c r="I54" s="15" t="str">
        <f aca="false">IF($B54="","",IF(C54="Continuous",N(INDEX('2 Phases'!$G$7:$G$12,B54))*G53,0))</f>
        <v/>
      </c>
      <c r="J54" s="15" t="str">
        <f aca="false">IF($B54="","",IF(C54="Continuous",N(INDEX('2 Phases'!$H$7:$H$12,B54))*G53,0))</f>
        <v/>
      </c>
      <c r="K54" s="15" t="str">
        <f aca="false">IF($B54="","",I54-J54)</f>
        <v/>
      </c>
      <c r="L54" s="14" t="str">
        <f aca="false">IF($B54="","",J54*1000*H54)</f>
        <v/>
      </c>
      <c r="M54" s="15" t="str">
        <f aca="false">IF($B54="","",M53+F54+I54)</f>
        <v/>
      </c>
      <c r="N54" s="15" t="str">
        <f aca="false">IF($B54="","",N53+K54)</f>
        <v/>
      </c>
      <c r="O54" s="15" t="str">
        <f aca="false">IF($B54="","",O53+J54)</f>
        <v/>
      </c>
      <c r="P54" s="14" t="str">
        <f aca="false">IF($B54="","",P53+L54)</f>
        <v/>
      </c>
      <c r="Q54" s="18" t="str">
        <f aca="false">IF(OR($B54="",Q53="",'1 Setup'!$C$10=""),"",IF(AND($C54="Continuous",N(INDEX('2 Phases'!$G$7:$G$12,B54))&gt;0),IF('1 Setup'!$G$10="","",MAX(0,('1 Setup'!$G$10+('1 Setup'!$H$10*'1 Setup'!$C$10*0.00000024*$H54)/N(INDEX('2 Phases'!$G$7:$G$12,B54)))+(((Q53*($G53-$F53)+N('1 Setup'!$F$10)*$F53)/$G53)-('1 Setup'!$G$10+('1 Setup'!$H$10*'1 Setup'!$C$10*0.00000024*$H54)/N(INDEX('2 Phases'!$G$7:$G$12,B54))))*EXP(-N(INDEX('2 Phases'!$G$7:$G$12,B54))))),MAX(0,((Q53*($G53-$F53)+N('1 Setup'!$F$10)*$F53)/$G53)+('1 Setup'!$H$10*'1 Setup'!$C$10*0.00000024*$H54))))</f>
        <v/>
      </c>
      <c r="R54" s="18" t="str">
        <f aca="false">IF(OR($B54="",R53="",'1 Setup'!$C$11=""),"",IF(AND($C54="Continuous",N(INDEX('2 Phases'!$G$7:$G$12,B54))&gt;0),IF('1 Setup'!$G$11="","",MAX(0,('1 Setup'!$G$11+('1 Setup'!$H$11*'1 Setup'!$C$11*0.00000024*$H54)/N(INDEX('2 Phases'!$G$7:$G$12,B54)))+(((R53*($G53-$F53)+N('1 Setup'!$F$11)*$F53)/$G53)-('1 Setup'!$G$11+('1 Setup'!$H$11*'1 Setup'!$C$11*0.00000024*$H54)/N(INDEX('2 Phases'!$G$7:$G$12,B54))))*EXP(-N(INDEX('2 Phases'!$G$7:$G$12,B54))))),MAX(0,((R53*($G53-$F53)+N('1 Setup'!$F$11)*$F53)/$G53)+('1 Setup'!$H$11*'1 Setup'!$C$11*0.00000024*$H54))))</f>
        <v/>
      </c>
      <c r="S54" s="18" t="str">
        <f aca="false">IF(OR($B54="",S53="",'1 Setup'!$C$12=""),"",IF(AND($C54="Continuous",N(INDEX('2 Phases'!$G$7:$G$12,B54))&gt;0),IF('1 Setup'!$G$12="","",MAX(0,('1 Setup'!$G$12+('1 Setup'!$H$12*'1 Setup'!$C$12*0.00000024*$H54)/N(INDEX('2 Phases'!$G$7:$G$12,B54)))+(((S53*($G53-$F53)+N('1 Setup'!$F$12)*$F53)/$G53)-('1 Setup'!$G$12+('1 Setup'!$H$12*'1 Setup'!$C$12*0.00000024*$H54)/N(INDEX('2 Phases'!$G$7:$G$12,B54))))*EXP(-N(INDEX('2 Phases'!$G$7:$G$12,B54))))),MAX(0,((S53*($G53-$F53)+N('1 Setup'!$F$12)*$F53)/$G53)+('1 Setup'!$H$12*'1 Setup'!$C$12*0.00000024*$H54))))</f>
        <v/>
      </c>
      <c r="T54" s="18" t="str">
        <f aca="false">IF(OR($B54="",T53="",'1 Setup'!$C$13=""),"",IF(AND($C54="Continuous",N(INDEX('2 Phases'!$G$7:$G$12,B54))&gt;0),IF('1 Setup'!$G$13="","",MAX(0,('1 Setup'!$G$13+('1 Setup'!$H$13*'1 Setup'!$C$13*0.00000024*$H54)/N(INDEX('2 Phases'!$G$7:$G$12,B54)))+(((T53*($G53-$F53)+N('1 Setup'!$F$13)*$F53)/$G53)-('1 Setup'!$G$13+('1 Setup'!$H$13*'1 Setup'!$C$13*0.00000024*$H54)/N(INDEX('2 Phases'!$G$7:$G$12,B54))))*EXP(-N(INDEX('2 Phases'!$G$7:$G$12,B54))))),MAX(0,((T53*($G53-$F53)+N('1 Setup'!$F$13)*$F53)/$G53)+('1 Setup'!$H$13*'1 Setup'!$C$13*0.00000024*$H54))))</f>
        <v/>
      </c>
      <c r="U54" s="18" t="str">
        <f aca="false">IF(OR($B54="",U53="",'1 Setup'!$C$14=""),"",IF(AND($C54="Continuous",N(INDEX('2 Phases'!$G$7:$G$12,B54))&gt;0),IF('1 Setup'!$G$14="","",MAX(0,('1 Setup'!$G$14+('1 Setup'!$H$14*'1 Setup'!$C$14*0.00000024*$H54)/N(INDEX('2 Phases'!$G$7:$G$12,B54)))+(((U53*($G53-$F53)+N('1 Setup'!$F$14)*$F53)/$G53)-('1 Setup'!$G$14+('1 Setup'!$H$14*'1 Setup'!$C$14*0.00000024*$H54)/N(INDEX('2 Phases'!$G$7:$G$12,B54))))*EXP(-N(INDEX('2 Phases'!$G$7:$G$12,B54))))),MAX(0,((U53*($G53-$F53)+N('1 Setup'!$F$14)*$F53)/$G53)+('1 Setup'!$H$14*'1 Setup'!$C$14*0.00000024*$H54))))</f>
        <v/>
      </c>
      <c r="V54" s="18" t="str">
        <f aca="false">IF($B54="","",E54/1000000*'1 Setup'!$B$7)</f>
        <v/>
      </c>
      <c r="W54" s="18" t="str">
        <f aca="false">IF($B54="","",V54*G54)</f>
        <v/>
      </c>
      <c r="X54" s="18" t="str">
        <f aca="false">IF($B54="","",P54*'1 Setup'!$B$7/1000000000)</f>
        <v/>
      </c>
      <c r="Y54" s="18" t="str">
        <f aca="false">IF($B54="","",L54*'1 Setup'!$B$7/1000000000)</f>
        <v/>
      </c>
    </row>
    <row r="55" customFormat="false" ht="15" hidden="false" customHeight="false" outlineLevel="0" collapsed="false">
      <c r="A55" s="7" t="n">
        <v>49</v>
      </c>
      <c r="B55" s="7" t="str">
        <f aca="false">IF(A55&gt;'2 Phases'!$D$4,"",IF(A55=0,1,COUNTIF('2 Phases'!$M$7:$M$12,"&lt;"&amp;A55)+1))</f>
        <v/>
      </c>
      <c r="C55" s="7" t="str">
        <f aca="false">IF($B55="","",INDEX('2 Phases'!$C$7:$C$12,B55))</f>
        <v/>
      </c>
      <c r="D55" s="7" t="str">
        <f aca="false">IF($B55="","",A55-INDEX('2 Phases'!$L$7:$L$12,B55))</f>
        <v/>
      </c>
      <c r="E55" s="14" t="str">
        <f aca="false">IF($B55="","",IFERROR(IF(C55="Continuous",INDEX('2 Phases'!$N$7:$N$12,B55)*EXP((INDEX('2 Phases'!$P$7:$P$12,B55)-N(INDEX('2 Phases'!$H$7:$H$12,B55)))*D55),INDEX('2 Phases'!$N$7:$N$12,B55)*(IF(INDEX('2 Phases'!$E$7:$E$12,B55)="",INDEX('2 Phases'!$N$7:$N$12,B55),INDEX('2 Phases'!$E$7:$E$12,B55))/INDEX('2 Phases'!$N$7:$N$12,B55))^(D55/INDEX('2 Phases'!$D$7:$D$12,B55))),""))</f>
        <v/>
      </c>
      <c r="F55" s="15" t="n">
        <f aca="false">IF(OR($B55="",C55&lt;&gt;"Fed-batch",D55=0),0,IFERROR(N(INDEX('3 Feed regimes'!$B$6:$E$35,D55,MATCH(INDEX('2 Phases'!$F$7:$F$12,B55),'3 Feed regimes'!$B$4:$E$4,0)))*'1 Setup'!$B$5/100,0))</f>
        <v>0</v>
      </c>
      <c r="G55" s="15" t="str">
        <f aca="false">IF($B55="","",G54+F55)</f>
        <v/>
      </c>
      <c r="H55" s="14" t="str">
        <f aca="false">IF($B55="","",(E54+E55)/2)</f>
        <v/>
      </c>
      <c r="I55" s="15" t="str">
        <f aca="false">IF($B55="","",IF(C55="Continuous",N(INDEX('2 Phases'!$G$7:$G$12,B55))*G54,0))</f>
        <v/>
      </c>
      <c r="J55" s="15" t="str">
        <f aca="false">IF($B55="","",IF(C55="Continuous",N(INDEX('2 Phases'!$H$7:$H$12,B55))*G54,0))</f>
        <v/>
      </c>
      <c r="K55" s="15" t="str">
        <f aca="false">IF($B55="","",I55-J55)</f>
        <v/>
      </c>
      <c r="L55" s="14" t="str">
        <f aca="false">IF($B55="","",J55*1000*H55)</f>
        <v/>
      </c>
      <c r="M55" s="15" t="str">
        <f aca="false">IF($B55="","",M54+F55+I55)</f>
        <v/>
      </c>
      <c r="N55" s="15" t="str">
        <f aca="false">IF($B55="","",N54+K55)</f>
        <v/>
      </c>
      <c r="O55" s="15" t="str">
        <f aca="false">IF($B55="","",O54+J55)</f>
        <v/>
      </c>
      <c r="P55" s="14" t="str">
        <f aca="false">IF($B55="","",P54+L55)</f>
        <v/>
      </c>
      <c r="Q55" s="18" t="str">
        <f aca="false">IF(OR($B55="",Q54="",'1 Setup'!$C$10=""),"",IF(AND($C55="Continuous",N(INDEX('2 Phases'!$G$7:$G$12,B55))&gt;0),IF('1 Setup'!$G$10="","",MAX(0,('1 Setup'!$G$10+('1 Setup'!$H$10*'1 Setup'!$C$10*0.00000024*$H55)/N(INDEX('2 Phases'!$G$7:$G$12,B55)))+(((Q54*($G54-$F54)+N('1 Setup'!$F$10)*$F54)/$G54)-('1 Setup'!$G$10+('1 Setup'!$H$10*'1 Setup'!$C$10*0.00000024*$H55)/N(INDEX('2 Phases'!$G$7:$G$12,B55))))*EXP(-N(INDEX('2 Phases'!$G$7:$G$12,B55))))),MAX(0,((Q54*($G54-$F54)+N('1 Setup'!$F$10)*$F54)/$G54)+('1 Setup'!$H$10*'1 Setup'!$C$10*0.00000024*$H55))))</f>
        <v/>
      </c>
      <c r="R55" s="18" t="str">
        <f aca="false">IF(OR($B55="",R54="",'1 Setup'!$C$11=""),"",IF(AND($C55="Continuous",N(INDEX('2 Phases'!$G$7:$G$12,B55))&gt;0),IF('1 Setup'!$G$11="","",MAX(0,('1 Setup'!$G$11+('1 Setup'!$H$11*'1 Setup'!$C$11*0.00000024*$H55)/N(INDEX('2 Phases'!$G$7:$G$12,B55)))+(((R54*($G54-$F54)+N('1 Setup'!$F$11)*$F54)/$G54)-('1 Setup'!$G$11+('1 Setup'!$H$11*'1 Setup'!$C$11*0.00000024*$H55)/N(INDEX('2 Phases'!$G$7:$G$12,B55))))*EXP(-N(INDEX('2 Phases'!$G$7:$G$12,B55))))),MAX(0,((R54*($G54-$F54)+N('1 Setup'!$F$11)*$F54)/$G54)+('1 Setup'!$H$11*'1 Setup'!$C$11*0.00000024*$H55))))</f>
        <v/>
      </c>
      <c r="S55" s="18" t="str">
        <f aca="false">IF(OR($B55="",S54="",'1 Setup'!$C$12=""),"",IF(AND($C55="Continuous",N(INDEX('2 Phases'!$G$7:$G$12,B55))&gt;0),IF('1 Setup'!$G$12="","",MAX(0,('1 Setup'!$G$12+('1 Setup'!$H$12*'1 Setup'!$C$12*0.00000024*$H55)/N(INDEX('2 Phases'!$G$7:$G$12,B55)))+(((S54*($G54-$F54)+N('1 Setup'!$F$12)*$F54)/$G54)-('1 Setup'!$G$12+('1 Setup'!$H$12*'1 Setup'!$C$12*0.00000024*$H55)/N(INDEX('2 Phases'!$G$7:$G$12,B55))))*EXP(-N(INDEX('2 Phases'!$G$7:$G$12,B55))))),MAX(0,((S54*($G54-$F54)+N('1 Setup'!$F$12)*$F54)/$G54)+('1 Setup'!$H$12*'1 Setup'!$C$12*0.00000024*$H55))))</f>
        <v/>
      </c>
      <c r="T55" s="18" t="str">
        <f aca="false">IF(OR($B55="",T54="",'1 Setup'!$C$13=""),"",IF(AND($C55="Continuous",N(INDEX('2 Phases'!$G$7:$G$12,B55))&gt;0),IF('1 Setup'!$G$13="","",MAX(0,('1 Setup'!$G$13+('1 Setup'!$H$13*'1 Setup'!$C$13*0.00000024*$H55)/N(INDEX('2 Phases'!$G$7:$G$12,B55)))+(((T54*($G54-$F54)+N('1 Setup'!$F$13)*$F54)/$G54)-('1 Setup'!$G$13+('1 Setup'!$H$13*'1 Setup'!$C$13*0.00000024*$H55)/N(INDEX('2 Phases'!$G$7:$G$12,B55))))*EXP(-N(INDEX('2 Phases'!$G$7:$G$12,B55))))),MAX(0,((T54*($G54-$F54)+N('1 Setup'!$F$13)*$F54)/$G54)+('1 Setup'!$H$13*'1 Setup'!$C$13*0.00000024*$H55))))</f>
        <v/>
      </c>
      <c r="U55" s="18" t="str">
        <f aca="false">IF(OR($B55="",U54="",'1 Setup'!$C$14=""),"",IF(AND($C55="Continuous",N(INDEX('2 Phases'!$G$7:$G$12,B55))&gt;0),IF('1 Setup'!$G$14="","",MAX(0,('1 Setup'!$G$14+('1 Setup'!$H$14*'1 Setup'!$C$14*0.00000024*$H55)/N(INDEX('2 Phases'!$G$7:$G$12,B55)))+(((U54*($G54-$F54)+N('1 Setup'!$F$14)*$F54)/$G54)-('1 Setup'!$G$14+('1 Setup'!$H$14*'1 Setup'!$C$14*0.00000024*$H55)/N(INDEX('2 Phases'!$G$7:$G$12,B55))))*EXP(-N(INDEX('2 Phases'!$G$7:$G$12,B55))))),MAX(0,((U54*($G54-$F54)+N('1 Setup'!$F$14)*$F54)/$G54)+('1 Setup'!$H$14*'1 Setup'!$C$14*0.00000024*$H55))))</f>
        <v/>
      </c>
      <c r="V55" s="18" t="str">
        <f aca="false">IF($B55="","",E55/1000000*'1 Setup'!$B$7)</f>
        <v/>
      </c>
      <c r="W55" s="18" t="str">
        <f aca="false">IF($B55="","",V55*G55)</f>
        <v/>
      </c>
      <c r="X55" s="18" t="str">
        <f aca="false">IF($B55="","",P55*'1 Setup'!$B$7/1000000000)</f>
        <v/>
      </c>
      <c r="Y55" s="18" t="str">
        <f aca="false">IF($B55="","",L55*'1 Setup'!$B$7/1000000000)</f>
        <v/>
      </c>
    </row>
    <row r="56" customFormat="false" ht="15" hidden="false" customHeight="false" outlineLevel="0" collapsed="false">
      <c r="A56" s="7" t="n">
        <v>50</v>
      </c>
      <c r="B56" s="7" t="str">
        <f aca="false">IF(A56&gt;'2 Phases'!$D$4,"",IF(A56=0,1,COUNTIF('2 Phases'!$M$7:$M$12,"&lt;"&amp;A56)+1))</f>
        <v/>
      </c>
      <c r="C56" s="7" t="str">
        <f aca="false">IF($B56="","",INDEX('2 Phases'!$C$7:$C$12,B56))</f>
        <v/>
      </c>
      <c r="D56" s="7" t="str">
        <f aca="false">IF($B56="","",A56-INDEX('2 Phases'!$L$7:$L$12,B56))</f>
        <v/>
      </c>
      <c r="E56" s="14" t="str">
        <f aca="false">IF($B56="","",IFERROR(IF(C56="Continuous",INDEX('2 Phases'!$N$7:$N$12,B56)*EXP((INDEX('2 Phases'!$P$7:$P$12,B56)-N(INDEX('2 Phases'!$H$7:$H$12,B56)))*D56),INDEX('2 Phases'!$N$7:$N$12,B56)*(IF(INDEX('2 Phases'!$E$7:$E$12,B56)="",INDEX('2 Phases'!$N$7:$N$12,B56),INDEX('2 Phases'!$E$7:$E$12,B56))/INDEX('2 Phases'!$N$7:$N$12,B56))^(D56/INDEX('2 Phases'!$D$7:$D$12,B56))),""))</f>
        <v/>
      </c>
      <c r="F56" s="15" t="n">
        <f aca="false">IF(OR($B56="",C56&lt;&gt;"Fed-batch",D56=0),0,IFERROR(N(INDEX('3 Feed regimes'!$B$6:$E$35,D56,MATCH(INDEX('2 Phases'!$F$7:$F$12,B56),'3 Feed regimes'!$B$4:$E$4,0)))*'1 Setup'!$B$5/100,0))</f>
        <v>0</v>
      </c>
      <c r="G56" s="15" t="str">
        <f aca="false">IF($B56="","",G55+F56)</f>
        <v/>
      </c>
      <c r="H56" s="14" t="str">
        <f aca="false">IF($B56="","",(E55+E56)/2)</f>
        <v/>
      </c>
      <c r="I56" s="15" t="str">
        <f aca="false">IF($B56="","",IF(C56="Continuous",N(INDEX('2 Phases'!$G$7:$G$12,B56))*G55,0))</f>
        <v/>
      </c>
      <c r="J56" s="15" t="str">
        <f aca="false">IF($B56="","",IF(C56="Continuous",N(INDEX('2 Phases'!$H$7:$H$12,B56))*G55,0))</f>
        <v/>
      </c>
      <c r="K56" s="15" t="str">
        <f aca="false">IF($B56="","",I56-J56)</f>
        <v/>
      </c>
      <c r="L56" s="14" t="str">
        <f aca="false">IF($B56="","",J56*1000*H56)</f>
        <v/>
      </c>
      <c r="M56" s="15" t="str">
        <f aca="false">IF($B56="","",M55+F56+I56)</f>
        <v/>
      </c>
      <c r="N56" s="15" t="str">
        <f aca="false">IF($B56="","",N55+K56)</f>
        <v/>
      </c>
      <c r="O56" s="15" t="str">
        <f aca="false">IF($B56="","",O55+J56)</f>
        <v/>
      </c>
      <c r="P56" s="14" t="str">
        <f aca="false">IF($B56="","",P55+L56)</f>
        <v/>
      </c>
      <c r="Q56" s="18" t="str">
        <f aca="false">IF(OR($B56="",Q55="",'1 Setup'!$C$10=""),"",IF(AND($C56="Continuous",N(INDEX('2 Phases'!$G$7:$G$12,B56))&gt;0),IF('1 Setup'!$G$10="","",MAX(0,('1 Setup'!$G$10+('1 Setup'!$H$10*'1 Setup'!$C$10*0.00000024*$H56)/N(INDEX('2 Phases'!$G$7:$G$12,B56)))+(((Q55*($G55-$F55)+N('1 Setup'!$F$10)*$F55)/$G55)-('1 Setup'!$G$10+('1 Setup'!$H$10*'1 Setup'!$C$10*0.00000024*$H56)/N(INDEX('2 Phases'!$G$7:$G$12,B56))))*EXP(-N(INDEX('2 Phases'!$G$7:$G$12,B56))))),MAX(0,((Q55*($G55-$F55)+N('1 Setup'!$F$10)*$F55)/$G55)+('1 Setup'!$H$10*'1 Setup'!$C$10*0.00000024*$H56))))</f>
        <v/>
      </c>
      <c r="R56" s="18" t="str">
        <f aca="false">IF(OR($B56="",R55="",'1 Setup'!$C$11=""),"",IF(AND($C56="Continuous",N(INDEX('2 Phases'!$G$7:$G$12,B56))&gt;0),IF('1 Setup'!$G$11="","",MAX(0,('1 Setup'!$G$11+('1 Setup'!$H$11*'1 Setup'!$C$11*0.00000024*$H56)/N(INDEX('2 Phases'!$G$7:$G$12,B56)))+(((R55*($G55-$F55)+N('1 Setup'!$F$11)*$F55)/$G55)-('1 Setup'!$G$11+('1 Setup'!$H$11*'1 Setup'!$C$11*0.00000024*$H56)/N(INDEX('2 Phases'!$G$7:$G$12,B56))))*EXP(-N(INDEX('2 Phases'!$G$7:$G$12,B56))))),MAX(0,((R55*($G55-$F55)+N('1 Setup'!$F$11)*$F55)/$G55)+('1 Setup'!$H$11*'1 Setup'!$C$11*0.00000024*$H56))))</f>
        <v/>
      </c>
      <c r="S56" s="18" t="str">
        <f aca="false">IF(OR($B56="",S55="",'1 Setup'!$C$12=""),"",IF(AND($C56="Continuous",N(INDEX('2 Phases'!$G$7:$G$12,B56))&gt;0),IF('1 Setup'!$G$12="","",MAX(0,('1 Setup'!$G$12+('1 Setup'!$H$12*'1 Setup'!$C$12*0.00000024*$H56)/N(INDEX('2 Phases'!$G$7:$G$12,B56)))+(((S55*($G55-$F55)+N('1 Setup'!$F$12)*$F55)/$G55)-('1 Setup'!$G$12+('1 Setup'!$H$12*'1 Setup'!$C$12*0.00000024*$H56)/N(INDEX('2 Phases'!$G$7:$G$12,B56))))*EXP(-N(INDEX('2 Phases'!$G$7:$G$12,B56))))),MAX(0,((S55*($G55-$F55)+N('1 Setup'!$F$12)*$F55)/$G55)+('1 Setup'!$H$12*'1 Setup'!$C$12*0.00000024*$H56))))</f>
        <v/>
      </c>
      <c r="T56" s="18" t="str">
        <f aca="false">IF(OR($B56="",T55="",'1 Setup'!$C$13=""),"",IF(AND($C56="Continuous",N(INDEX('2 Phases'!$G$7:$G$12,B56))&gt;0),IF('1 Setup'!$G$13="","",MAX(0,('1 Setup'!$G$13+('1 Setup'!$H$13*'1 Setup'!$C$13*0.00000024*$H56)/N(INDEX('2 Phases'!$G$7:$G$12,B56)))+(((T55*($G55-$F55)+N('1 Setup'!$F$13)*$F55)/$G55)-('1 Setup'!$G$13+('1 Setup'!$H$13*'1 Setup'!$C$13*0.00000024*$H56)/N(INDEX('2 Phases'!$G$7:$G$12,B56))))*EXP(-N(INDEX('2 Phases'!$G$7:$G$12,B56))))),MAX(0,((T55*($G55-$F55)+N('1 Setup'!$F$13)*$F55)/$G55)+('1 Setup'!$H$13*'1 Setup'!$C$13*0.00000024*$H56))))</f>
        <v/>
      </c>
      <c r="U56" s="18" t="str">
        <f aca="false">IF(OR($B56="",U55="",'1 Setup'!$C$14=""),"",IF(AND($C56="Continuous",N(INDEX('2 Phases'!$G$7:$G$12,B56))&gt;0),IF('1 Setup'!$G$14="","",MAX(0,('1 Setup'!$G$14+('1 Setup'!$H$14*'1 Setup'!$C$14*0.00000024*$H56)/N(INDEX('2 Phases'!$G$7:$G$12,B56)))+(((U55*($G55-$F55)+N('1 Setup'!$F$14)*$F55)/$G55)-('1 Setup'!$G$14+('1 Setup'!$H$14*'1 Setup'!$C$14*0.00000024*$H56)/N(INDEX('2 Phases'!$G$7:$G$12,B56))))*EXP(-N(INDEX('2 Phases'!$G$7:$G$12,B56))))),MAX(0,((U55*($G55-$F55)+N('1 Setup'!$F$14)*$F55)/$G55)+('1 Setup'!$H$14*'1 Setup'!$C$14*0.00000024*$H56))))</f>
        <v/>
      </c>
      <c r="V56" s="18" t="str">
        <f aca="false">IF($B56="","",E56/1000000*'1 Setup'!$B$7)</f>
        <v/>
      </c>
      <c r="W56" s="18" t="str">
        <f aca="false">IF($B56="","",V56*G56)</f>
        <v/>
      </c>
      <c r="X56" s="18" t="str">
        <f aca="false">IF($B56="","",P56*'1 Setup'!$B$7/1000000000)</f>
        <v/>
      </c>
      <c r="Y56" s="18" t="str">
        <f aca="false">IF($B56="","",L56*'1 Setup'!$B$7/1000000000)</f>
        <v/>
      </c>
    </row>
    <row r="57" customFormat="false" ht="15" hidden="false" customHeight="false" outlineLevel="0" collapsed="false">
      <c r="A57" s="7" t="n">
        <v>51</v>
      </c>
      <c r="B57" s="7" t="str">
        <f aca="false">IF(A57&gt;'2 Phases'!$D$4,"",IF(A57=0,1,COUNTIF('2 Phases'!$M$7:$M$12,"&lt;"&amp;A57)+1))</f>
        <v/>
      </c>
      <c r="C57" s="7" t="str">
        <f aca="false">IF($B57="","",INDEX('2 Phases'!$C$7:$C$12,B57))</f>
        <v/>
      </c>
      <c r="D57" s="7" t="str">
        <f aca="false">IF($B57="","",A57-INDEX('2 Phases'!$L$7:$L$12,B57))</f>
        <v/>
      </c>
      <c r="E57" s="14" t="str">
        <f aca="false">IF($B57="","",IFERROR(IF(C57="Continuous",INDEX('2 Phases'!$N$7:$N$12,B57)*EXP((INDEX('2 Phases'!$P$7:$P$12,B57)-N(INDEX('2 Phases'!$H$7:$H$12,B57)))*D57),INDEX('2 Phases'!$N$7:$N$12,B57)*(IF(INDEX('2 Phases'!$E$7:$E$12,B57)="",INDEX('2 Phases'!$N$7:$N$12,B57),INDEX('2 Phases'!$E$7:$E$12,B57))/INDEX('2 Phases'!$N$7:$N$12,B57))^(D57/INDEX('2 Phases'!$D$7:$D$12,B57))),""))</f>
        <v/>
      </c>
      <c r="F57" s="15" t="n">
        <f aca="false">IF(OR($B57="",C57&lt;&gt;"Fed-batch",D57=0),0,IFERROR(N(INDEX('3 Feed regimes'!$B$6:$E$35,D57,MATCH(INDEX('2 Phases'!$F$7:$F$12,B57),'3 Feed regimes'!$B$4:$E$4,0)))*'1 Setup'!$B$5/100,0))</f>
        <v>0</v>
      </c>
      <c r="G57" s="15" t="str">
        <f aca="false">IF($B57="","",G56+F57)</f>
        <v/>
      </c>
      <c r="H57" s="14" t="str">
        <f aca="false">IF($B57="","",(E56+E57)/2)</f>
        <v/>
      </c>
      <c r="I57" s="15" t="str">
        <f aca="false">IF($B57="","",IF(C57="Continuous",N(INDEX('2 Phases'!$G$7:$G$12,B57))*G56,0))</f>
        <v/>
      </c>
      <c r="J57" s="15" t="str">
        <f aca="false">IF($B57="","",IF(C57="Continuous",N(INDEX('2 Phases'!$H$7:$H$12,B57))*G56,0))</f>
        <v/>
      </c>
      <c r="K57" s="15" t="str">
        <f aca="false">IF($B57="","",I57-J57)</f>
        <v/>
      </c>
      <c r="L57" s="14" t="str">
        <f aca="false">IF($B57="","",J57*1000*H57)</f>
        <v/>
      </c>
      <c r="M57" s="15" t="str">
        <f aca="false">IF($B57="","",M56+F57+I57)</f>
        <v/>
      </c>
      <c r="N57" s="15" t="str">
        <f aca="false">IF($B57="","",N56+K57)</f>
        <v/>
      </c>
      <c r="O57" s="15" t="str">
        <f aca="false">IF($B57="","",O56+J57)</f>
        <v/>
      </c>
      <c r="P57" s="14" t="str">
        <f aca="false">IF($B57="","",P56+L57)</f>
        <v/>
      </c>
      <c r="Q57" s="18" t="str">
        <f aca="false">IF(OR($B57="",Q56="",'1 Setup'!$C$10=""),"",IF(AND($C57="Continuous",N(INDEX('2 Phases'!$G$7:$G$12,B57))&gt;0),IF('1 Setup'!$G$10="","",MAX(0,('1 Setup'!$G$10+('1 Setup'!$H$10*'1 Setup'!$C$10*0.00000024*$H57)/N(INDEX('2 Phases'!$G$7:$G$12,B57)))+(((Q56*($G56-$F56)+N('1 Setup'!$F$10)*$F56)/$G56)-('1 Setup'!$G$10+('1 Setup'!$H$10*'1 Setup'!$C$10*0.00000024*$H57)/N(INDEX('2 Phases'!$G$7:$G$12,B57))))*EXP(-N(INDEX('2 Phases'!$G$7:$G$12,B57))))),MAX(0,((Q56*($G56-$F56)+N('1 Setup'!$F$10)*$F56)/$G56)+('1 Setup'!$H$10*'1 Setup'!$C$10*0.00000024*$H57))))</f>
        <v/>
      </c>
      <c r="R57" s="18" t="str">
        <f aca="false">IF(OR($B57="",R56="",'1 Setup'!$C$11=""),"",IF(AND($C57="Continuous",N(INDEX('2 Phases'!$G$7:$G$12,B57))&gt;0),IF('1 Setup'!$G$11="","",MAX(0,('1 Setup'!$G$11+('1 Setup'!$H$11*'1 Setup'!$C$11*0.00000024*$H57)/N(INDEX('2 Phases'!$G$7:$G$12,B57)))+(((R56*($G56-$F56)+N('1 Setup'!$F$11)*$F56)/$G56)-('1 Setup'!$G$11+('1 Setup'!$H$11*'1 Setup'!$C$11*0.00000024*$H57)/N(INDEX('2 Phases'!$G$7:$G$12,B57))))*EXP(-N(INDEX('2 Phases'!$G$7:$G$12,B57))))),MAX(0,((R56*($G56-$F56)+N('1 Setup'!$F$11)*$F56)/$G56)+('1 Setup'!$H$11*'1 Setup'!$C$11*0.00000024*$H57))))</f>
        <v/>
      </c>
      <c r="S57" s="18" t="str">
        <f aca="false">IF(OR($B57="",S56="",'1 Setup'!$C$12=""),"",IF(AND($C57="Continuous",N(INDEX('2 Phases'!$G$7:$G$12,B57))&gt;0),IF('1 Setup'!$G$12="","",MAX(0,('1 Setup'!$G$12+('1 Setup'!$H$12*'1 Setup'!$C$12*0.00000024*$H57)/N(INDEX('2 Phases'!$G$7:$G$12,B57)))+(((S56*($G56-$F56)+N('1 Setup'!$F$12)*$F56)/$G56)-('1 Setup'!$G$12+('1 Setup'!$H$12*'1 Setup'!$C$12*0.00000024*$H57)/N(INDEX('2 Phases'!$G$7:$G$12,B57))))*EXP(-N(INDEX('2 Phases'!$G$7:$G$12,B57))))),MAX(0,((S56*($G56-$F56)+N('1 Setup'!$F$12)*$F56)/$G56)+('1 Setup'!$H$12*'1 Setup'!$C$12*0.00000024*$H57))))</f>
        <v/>
      </c>
      <c r="T57" s="18" t="str">
        <f aca="false">IF(OR($B57="",T56="",'1 Setup'!$C$13=""),"",IF(AND($C57="Continuous",N(INDEX('2 Phases'!$G$7:$G$12,B57))&gt;0),IF('1 Setup'!$G$13="","",MAX(0,('1 Setup'!$G$13+('1 Setup'!$H$13*'1 Setup'!$C$13*0.00000024*$H57)/N(INDEX('2 Phases'!$G$7:$G$12,B57)))+(((T56*($G56-$F56)+N('1 Setup'!$F$13)*$F56)/$G56)-('1 Setup'!$G$13+('1 Setup'!$H$13*'1 Setup'!$C$13*0.00000024*$H57)/N(INDEX('2 Phases'!$G$7:$G$12,B57))))*EXP(-N(INDEX('2 Phases'!$G$7:$G$12,B57))))),MAX(0,((T56*($G56-$F56)+N('1 Setup'!$F$13)*$F56)/$G56)+('1 Setup'!$H$13*'1 Setup'!$C$13*0.00000024*$H57))))</f>
        <v/>
      </c>
      <c r="U57" s="18" t="str">
        <f aca="false">IF(OR($B57="",U56="",'1 Setup'!$C$14=""),"",IF(AND($C57="Continuous",N(INDEX('2 Phases'!$G$7:$G$12,B57))&gt;0),IF('1 Setup'!$G$14="","",MAX(0,('1 Setup'!$G$14+('1 Setup'!$H$14*'1 Setup'!$C$14*0.00000024*$H57)/N(INDEX('2 Phases'!$G$7:$G$12,B57)))+(((U56*($G56-$F56)+N('1 Setup'!$F$14)*$F56)/$G56)-('1 Setup'!$G$14+('1 Setup'!$H$14*'1 Setup'!$C$14*0.00000024*$H57)/N(INDEX('2 Phases'!$G$7:$G$12,B57))))*EXP(-N(INDEX('2 Phases'!$G$7:$G$12,B57))))),MAX(0,((U56*($G56-$F56)+N('1 Setup'!$F$14)*$F56)/$G56)+('1 Setup'!$H$14*'1 Setup'!$C$14*0.00000024*$H57))))</f>
        <v/>
      </c>
      <c r="V57" s="18" t="str">
        <f aca="false">IF($B57="","",E57/1000000*'1 Setup'!$B$7)</f>
        <v/>
      </c>
      <c r="W57" s="18" t="str">
        <f aca="false">IF($B57="","",V57*G57)</f>
        <v/>
      </c>
      <c r="X57" s="18" t="str">
        <f aca="false">IF($B57="","",P57*'1 Setup'!$B$7/1000000000)</f>
        <v/>
      </c>
      <c r="Y57" s="18" t="str">
        <f aca="false">IF($B57="","",L57*'1 Setup'!$B$7/1000000000)</f>
        <v/>
      </c>
    </row>
    <row r="58" customFormat="false" ht="15" hidden="false" customHeight="false" outlineLevel="0" collapsed="false">
      <c r="A58" s="7" t="n">
        <v>52</v>
      </c>
      <c r="B58" s="7" t="str">
        <f aca="false">IF(A58&gt;'2 Phases'!$D$4,"",IF(A58=0,1,COUNTIF('2 Phases'!$M$7:$M$12,"&lt;"&amp;A58)+1))</f>
        <v/>
      </c>
      <c r="C58" s="7" t="str">
        <f aca="false">IF($B58="","",INDEX('2 Phases'!$C$7:$C$12,B58))</f>
        <v/>
      </c>
      <c r="D58" s="7" t="str">
        <f aca="false">IF($B58="","",A58-INDEX('2 Phases'!$L$7:$L$12,B58))</f>
        <v/>
      </c>
      <c r="E58" s="14" t="str">
        <f aca="false">IF($B58="","",IFERROR(IF(C58="Continuous",INDEX('2 Phases'!$N$7:$N$12,B58)*EXP((INDEX('2 Phases'!$P$7:$P$12,B58)-N(INDEX('2 Phases'!$H$7:$H$12,B58)))*D58),INDEX('2 Phases'!$N$7:$N$12,B58)*(IF(INDEX('2 Phases'!$E$7:$E$12,B58)="",INDEX('2 Phases'!$N$7:$N$12,B58),INDEX('2 Phases'!$E$7:$E$12,B58))/INDEX('2 Phases'!$N$7:$N$12,B58))^(D58/INDEX('2 Phases'!$D$7:$D$12,B58))),""))</f>
        <v/>
      </c>
      <c r="F58" s="15" t="n">
        <f aca="false">IF(OR($B58="",C58&lt;&gt;"Fed-batch",D58=0),0,IFERROR(N(INDEX('3 Feed regimes'!$B$6:$E$35,D58,MATCH(INDEX('2 Phases'!$F$7:$F$12,B58),'3 Feed regimes'!$B$4:$E$4,0)))*'1 Setup'!$B$5/100,0))</f>
        <v>0</v>
      </c>
      <c r="G58" s="15" t="str">
        <f aca="false">IF($B58="","",G57+F58)</f>
        <v/>
      </c>
      <c r="H58" s="14" t="str">
        <f aca="false">IF($B58="","",(E57+E58)/2)</f>
        <v/>
      </c>
      <c r="I58" s="15" t="str">
        <f aca="false">IF($B58="","",IF(C58="Continuous",N(INDEX('2 Phases'!$G$7:$G$12,B58))*G57,0))</f>
        <v/>
      </c>
      <c r="J58" s="15" t="str">
        <f aca="false">IF($B58="","",IF(C58="Continuous",N(INDEX('2 Phases'!$H$7:$H$12,B58))*G57,0))</f>
        <v/>
      </c>
      <c r="K58" s="15" t="str">
        <f aca="false">IF($B58="","",I58-J58)</f>
        <v/>
      </c>
      <c r="L58" s="14" t="str">
        <f aca="false">IF($B58="","",J58*1000*H58)</f>
        <v/>
      </c>
      <c r="M58" s="15" t="str">
        <f aca="false">IF($B58="","",M57+F58+I58)</f>
        <v/>
      </c>
      <c r="N58" s="15" t="str">
        <f aca="false">IF($B58="","",N57+K58)</f>
        <v/>
      </c>
      <c r="O58" s="15" t="str">
        <f aca="false">IF($B58="","",O57+J58)</f>
        <v/>
      </c>
      <c r="P58" s="14" t="str">
        <f aca="false">IF($B58="","",P57+L58)</f>
        <v/>
      </c>
      <c r="Q58" s="18" t="str">
        <f aca="false">IF(OR($B58="",Q57="",'1 Setup'!$C$10=""),"",IF(AND($C58="Continuous",N(INDEX('2 Phases'!$G$7:$G$12,B58))&gt;0),IF('1 Setup'!$G$10="","",MAX(0,('1 Setup'!$G$10+('1 Setup'!$H$10*'1 Setup'!$C$10*0.00000024*$H58)/N(INDEX('2 Phases'!$G$7:$G$12,B58)))+(((Q57*($G57-$F57)+N('1 Setup'!$F$10)*$F57)/$G57)-('1 Setup'!$G$10+('1 Setup'!$H$10*'1 Setup'!$C$10*0.00000024*$H58)/N(INDEX('2 Phases'!$G$7:$G$12,B58))))*EXP(-N(INDEX('2 Phases'!$G$7:$G$12,B58))))),MAX(0,((Q57*($G57-$F57)+N('1 Setup'!$F$10)*$F57)/$G57)+('1 Setup'!$H$10*'1 Setup'!$C$10*0.00000024*$H58))))</f>
        <v/>
      </c>
      <c r="R58" s="18" t="str">
        <f aca="false">IF(OR($B58="",R57="",'1 Setup'!$C$11=""),"",IF(AND($C58="Continuous",N(INDEX('2 Phases'!$G$7:$G$12,B58))&gt;0),IF('1 Setup'!$G$11="","",MAX(0,('1 Setup'!$G$11+('1 Setup'!$H$11*'1 Setup'!$C$11*0.00000024*$H58)/N(INDEX('2 Phases'!$G$7:$G$12,B58)))+(((R57*($G57-$F57)+N('1 Setup'!$F$11)*$F57)/$G57)-('1 Setup'!$G$11+('1 Setup'!$H$11*'1 Setup'!$C$11*0.00000024*$H58)/N(INDEX('2 Phases'!$G$7:$G$12,B58))))*EXP(-N(INDEX('2 Phases'!$G$7:$G$12,B58))))),MAX(0,((R57*($G57-$F57)+N('1 Setup'!$F$11)*$F57)/$G57)+('1 Setup'!$H$11*'1 Setup'!$C$11*0.00000024*$H58))))</f>
        <v/>
      </c>
      <c r="S58" s="18" t="str">
        <f aca="false">IF(OR($B58="",S57="",'1 Setup'!$C$12=""),"",IF(AND($C58="Continuous",N(INDEX('2 Phases'!$G$7:$G$12,B58))&gt;0),IF('1 Setup'!$G$12="","",MAX(0,('1 Setup'!$G$12+('1 Setup'!$H$12*'1 Setup'!$C$12*0.00000024*$H58)/N(INDEX('2 Phases'!$G$7:$G$12,B58)))+(((S57*($G57-$F57)+N('1 Setup'!$F$12)*$F57)/$G57)-('1 Setup'!$G$12+('1 Setup'!$H$12*'1 Setup'!$C$12*0.00000024*$H58)/N(INDEX('2 Phases'!$G$7:$G$12,B58))))*EXP(-N(INDEX('2 Phases'!$G$7:$G$12,B58))))),MAX(0,((S57*($G57-$F57)+N('1 Setup'!$F$12)*$F57)/$G57)+('1 Setup'!$H$12*'1 Setup'!$C$12*0.00000024*$H58))))</f>
        <v/>
      </c>
      <c r="T58" s="18" t="str">
        <f aca="false">IF(OR($B58="",T57="",'1 Setup'!$C$13=""),"",IF(AND($C58="Continuous",N(INDEX('2 Phases'!$G$7:$G$12,B58))&gt;0),IF('1 Setup'!$G$13="","",MAX(0,('1 Setup'!$G$13+('1 Setup'!$H$13*'1 Setup'!$C$13*0.00000024*$H58)/N(INDEX('2 Phases'!$G$7:$G$12,B58)))+(((T57*($G57-$F57)+N('1 Setup'!$F$13)*$F57)/$G57)-('1 Setup'!$G$13+('1 Setup'!$H$13*'1 Setup'!$C$13*0.00000024*$H58)/N(INDEX('2 Phases'!$G$7:$G$12,B58))))*EXP(-N(INDEX('2 Phases'!$G$7:$G$12,B58))))),MAX(0,((T57*($G57-$F57)+N('1 Setup'!$F$13)*$F57)/$G57)+('1 Setup'!$H$13*'1 Setup'!$C$13*0.00000024*$H58))))</f>
        <v/>
      </c>
      <c r="U58" s="18" t="str">
        <f aca="false">IF(OR($B58="",U57="",'1 Setup'!$C$14=""),"",IF(AND($C58="Continuous",N(INDEX('2 Phases'!$G$7:$G$12,B58))&gt;0),IF('1 Setup'!$G$14="","",MAX(0,('1 Setup'!$G$14+('1 Setup'!$H$14*'1 Setup'!$C$14*0.00000024*$H58)/N(INDEX('2 Phases'!$G$7:$G$12,B58)))+(((U57*($G57-$F57)+N('1 Setup'!$F$14)*$F57)/$G57)-('1 Setup'!$G$14+('1 Setup'!$H$14*'1 Setup'!$C$14*0.00000024*$H58)/N(INDEX('2 Phases'!$G$7:$G$12,B58))))*EXP(-N(INDEX('2 Phases'!$G$7:$G$12,B58))))),MAX(0,((U57*($G57-$F57)+N('1 Setup'!$F$14)*$F57)/$G57)+('1 Setup'!$H$14*'1 Setup'!$C$14*0.00000024*$H58))))</f>
        <v/>
      </c>
      <c r="V58" s="18" t="str">
        <f aca="false">IF($B58="","",E58/1000000*'1 Setup'!$B$7)</f>
        <v/>
      </c>
      <c r="W58" s="18" t="str">
        <f aca="false">IF($B58="","",V58*G58)</f>
        <v/>
      </c>
      <c r="X58" s="18" t="str">
        <f aca="false">IF($B58="","",P58*'1 Setup'!$B$7/1000000000)</f>
        <v/>
      </c>
      <c r="Y58" s="18" t="str">
        <f aca="false">IF($B58="","",L58*'1 Setup'!$B$7/1000000000)</f>
        <v/>
      </c>
    </row>
    <row r="59" customFormat="false" ht="15" hidden="false" customHeight="false" outlineLevel="0" collapsed="false">
      <c r="A59" s="7" t="n">
        <v>53</v>
      </c>
      <c r="B59" s="7" t="str">
        <f aca="false">IF(A59&gt;'2 Phases'!$D$4,"",IF(A59=0,1,COUNTIF('2 Phases'!$M$7:$M$12,"&lt;"&amp;A59)+1))</f>
        <v/>
      </c>
      <c r="C59" s="7" t="str">
        <f aca="false">IF($B59="","",INDEX('2 Phases'!$C$7:$C$12,B59))</f>
        <v/>
      </c>
      <c r="D59" s="7" t="str">
        <f aca="false">IF($B59="","",A59-INDEX('2 Phases'!$L$7:$L$12,B59))</f>
        <v/>
      </c>
      <c r="E59" s="14" t="str">
        <f aca="false">IF($B59="","",IFERROR(IF(C59="Continuous",INDEX('2 Phases'!$N$7:$N$12,B59)*EXP((INDEX('2 Phases'!$P$7:$P$12,B59)-N(INDEX('2 Phases'!$H$7:$H$12,B59)))*D59),INDEX('2 Phases'!$N$7:$N$12,B59)*(IF(INDEX('2 Phases'!$E$7:$E$12,B59)="",INDEX('2 Phases'!$N$7:$N$12,B59),INDEX('2 Phases'!$E$7:$E$12,B59))/INDEX('2 Phases'!$N$7:$N$12,B59))^(D59/INDEX('2 Phases'!$D$7:$D$12,B59))),""))</f>
        <v/>
      </c>
      <c r="F59" s="15" t="n">
        <f aca="false">IF(OR($B59="",C59&lt;&gt;"Fed-batch",D59=0),0,IFERROR(N(INDEX('3 Feed regimes'!$B$6:$E$35,D59,MATCH(INDEX('2 Phases'!$F$7:$F$12,B59),'3 Feed regimes'!$B$4:$E$4,0)))*'1 Setup'!$B$5/100,0))</f>
        <v>0</v>
      </c>
      <c r="G59" s="15" t="str">
        <f aca="false">IF($B59="","",G58+F59)</f>
        <v/>
      </c>
      <c r="H59" s="14" t="str">
        <f aca="false">IF($B59="","",(E58+E59)/2)</f>
        <v/>
      </c>
      <c r="I59" s="15" t="str">
        <f aca="false">IF($B59="","",IF(C59="Continuous",N(INDEX('2 Phases'!$G$7:$G$12,B59))*G58,0))</f>
        <v/>
      </c>
      <c r="J59" s="15" t="str">
        <f aca="false">IF($B59="","",IF(C59="Continuous",N(INDEX('2 Phases'!$H$7:$H$12,B59))*G58,0))</f>
        <v/>
      </c>
      <c r="K59" s="15" t="str">
        <f aca="false">IF($B59="","",I59-J59)</f>
        <v/>
      </c>
      <c r="L59" s="14" t="str">
        <f aca="false">IF($B59="","",J59*1000*H59)</f>
        <v/>
      </c>
      <c r="M59" s="15" t="str">
        <f aca="false">IF($B59="","",M58+F59+I59)</f>
        <v/>
      </c>
      <c r="N59" s="15" t="str">
        <f aca="false">IF($B59="","",N58+K59)</f>
        <v/>
      </c>
      <c r="O59" s="15" t="str">
        <f aca="false">IF($B59="","",O58+J59)</f>
        <v/>
      </c>
      <c r="P59" s="14" t="str">
        <f aca="false">IF($B59="","",P58+L59)</f>
        <v/>
      </c>
      <c r="Q59" s="18" t="str">
        <f aca="false">IF(OR($B59="",Q58="",'1 Setup'!$C$10=""),"",IF(AND($C59="Continuous",N(INDEX('2 Phases'!$G$7:$G$12,B59))&gt;0),IF('1 Setup'!$G$10="","",MAX(0,('1 Setup'!$G$10+('1 Setup'!$H$10*'1 Setup'!$C$10*0.00000024*$H59)/N(INDEX('2 Phases'!$G$7:$G$12,B59)))+(((Q58*($G58-$F58)+N('1 Setup'!$F$10)*$F58)/$G58)-('1 Setup'!$G$10+('1 Setup'!$H$10*'1 Setup'!$C$10*0.00000024*$H59)/N(INDEX('2 Phases'!$G$7:$G$12,B59))))*EXP(-N(INDEX('2 Phases'!$G$7:$G$12,B59))))),MAX(0,((Q58*($G58-$F58)+N('1 Setup'!$F$10)*$F58)/$G58)+('1 Setup'!$H$10*'1 Setup'!$C$10*0.00000024*$H59))))</f>
        <v/>
      </c>
      <c r="R59" s="18" t="str">
        <f aca="false">IF(OR($B59="",R58="",'1 Setup'!$C$11=""),"",IF(AND($C59="Continuous",N(INDEX('2 Phases'!$G$7:$G$12,B59))&gt;0),IF('1 Setup'!$G$11="","",MAX(0,('1 Setup'!$G$11+('1 Setup'!$H$11*'1 Setup'!$C$11*0.00000024*$H59)/N(INDEX('2 Phases'!$G$7:$G$12,B59)))+(((R58*($G58-$F58)+N('1 Setup'!$F$11)*$F58)/$G58)-('1 Setup'!$G$11+('1 Setup'!$H$11*'1 Setup'!$C$11*0.00000024*$H59)/N(INDEX('2 Phases'!$G$7:$G$12,B59))))*EXP(-N(INDEX('2 Phases'!$G$7:$G$12,B59))))),MAX(0,((R58*($G58-$F58)+N('1 Setup'!$F$11)*$F58)/$G58)+('1 Setup'!$H$11*'1 Setup'!$C$11*0.00000024*$H59))))</f>
        <v/>
      </c>
      <c r="S59" s="18" t="str">
        <f aca="false">IF(OR($B59="",S58="",'1 Setup'!$C$12=""),"",IF(AND($C59="Continuous",N(INDEX('2 Phases'!$G$7:$G$12,B59))&gt;0),IF('1 Setup'!$G$12="","",MAX(0,('1 Setup'!$G$12+('1 Setup'!$H$12*'1 Setup'!$C$12*0.00000024*$H59)/N(INDEX('2 Phases'!$G$7:$G$12,B59)))+(((S58*($G58-$F58)+N('1 Setup'!$F$12)*$F58)/$G58)-('1 Setup'!$G$12+('1 Setup'!$H$12*'1 Setup'!$C$12*0.00000024*$H59)/N(INDEX('2 Phases'!$G$7:$G$12,B59))))*EXP(-N(INDEX('2 Phases'!$G$7:$G$12,B59))))),MAX(0,((S58*($G58-$F58)+N('1 Setup'!$F$12)*$F58)/$G58)+('1 Setup'!$H$12*'1 Setup'!$C$12*0.00000024*$H59))))</f>
        <v/>
      </c>
      <c r="T59" s="18" t="str">
        <f aca="false">IF(OR($B59="",T58="",'1 Setup'!$C$13=""),"",IF(AND($C59="Continuous",N(INDEX('2 Phases'!$G$7:$G$12,B59))&gt;0),IF('1 Setup'!$G$13="","",MAX(0,('1 Setup'!$G$13+('1 Setup'!$H$13*'1 Setup'!$C$13*0.00000024*$H59)/N(INDEX('2 Phases'!$G$7:$G$12,B59)))+(((T58*($G58-$F58)+N('1 Setup'!$F$13)*$F58)/$G58)-('1 Setup'!$G$13+('1 Setup'!$H$13*'1 Setup'!$C$13*0.00000024*$H59)/N(INDEX('2 Phases'!$G$7:$G$12,B59))))*EXP(-N(INDEX('2 Phases'!$G$7:$G$12,B59))))),MAX(0,((T58*($G58-$F58)+N('1 Setup'!$F$13)*$F58)/$G58)+('1 Setup'!$H$13*'1 Setup'!$C$13*0.00000024*$H59))))</f>
        <v/>
      </c>
      <c r="U59" s="18" t="str">
        <f aca="false">IF(OR($B59="",U58="",'1 Setup'!$C$14=""),"",IF(AND($C59="Continuous",N(INDEX('2 Phases'!$G$7:$G$12,B59))&gt;0),IF('1 Setup'!$G$14="","",MAX(0,('1 Setup'!$G$14+('1 Setup'!$H$14*'1 Setup'!$C$14*0.00000024*$H59)/N(INDEX('2 Phases'!$G$7:$G$12,B59)))+(((U58*($G58-$F58)+N('1 Setup'!$F$14)*$F58)/$G58)-('1 Setup'!$G$14+('1 Setup'!$H$14*'1 Setup'!$C$14*0.00000024*$H59)/N(INDEX('2 Phases'!$G$7:$G$12,B59))))*EXP(-N(INDEX('2 Phases'!$G$7:$G$12,B59))))),MAX(0,((U58*($G58-$F58)+N('1 Setup'!$F$14)*$F58)/$G58)+('1 Setup'!$H$14*'1 Setup'!$C$14*0.00000024*$H59))))</f>
        <v/>
      </c>
      <c r="V59" s="18" t="str">
        <f aca="false">IF($B59="","",E59/1000000*'1 Setup'!$B$7)</f>
        <v/>
      </c>
      <c r="W59" s="18" t="str">
        <f aca="false">IF($B59="","",V59*G59)</f>
        <v/>
      </c>
      <c r="X59" s="18" t="str">
        <f aca="false">IF($B59="","",P59*'1 Setup'!$B$7/1000000000)</f>
        <v/>
      </c>
      <c r="Y59" s="18" t="str">
        <f aca="false">IF($B59="","",L59*'1 Setup'!$B$7/1000000000)</f>
        <v/>
      </c>
    </row>
    <row r="60" customFormat="false" ht="15" hidden="false" customHeight="false" outlineLevel="0" collapsed="false">
      <c r="A60" s="7" t="n">
        <v>54</v>
      </c>
      <c r="B60" s="7" t="str">
        <f aca="false">IF(A60&gt;'2 Phases'!$D$4,"",IF(A60=0,1,COUNTIF('2 Phases'!$M$7:$M$12,"&lt;"&amp;A60)+1))</f>
        <v/>
      </c>
      <c r="C60" s="7" t="str">
        <f aca="false">IF($B60="","",INDEX('2 Phases'!$C$7:$C$12,B60))</f>
        <v/>
      </c>
      <c r="D60" s="7" t="str">
        <f aca="false">IF($B60="","",A60-INDEX('2 Phases'!$L$7:$L$12,B60))</f>
        <v/>
      </c>
      <c r="E60" s="14" t="str">
        <f aca="false">IF($B60="","",IFERROR(IF(C60="Continuous",INDEX('2 Phases'!$N$7:$N$12,B60)*EXP((INDEX('2 Phases'!$P$7:$P$12,B60)-N(INDEX('2 Phases'!$H$7:$H$12,B60)))*D60),INDEX('2 Phases'!$N$7:$N$12,B60)*(IF(INDEX('2 Phases'!$E$7:$E$12,B60)="",INDEX('2 Phases'!$N$7:$N$12,B60),INDEX('2 Phases'!$E$7:$E$12,B60))/INDEX('2 Phases'!$N$7:$N$12,B60))^(D60/INDEX('2 Phases'!$D$7:$D$12,B60))),""))</f>
        <v/>
      </c>
      <c r="F60" s="15" t="n">
        <f aca="false">IF(OR($B60="",C60&lt;&gt;"Fed-batch",D60=0),0,IFERROR(N(INDEX('3 Feed regimes'!$B$6:$E$35,D60,MATCH(INDEX('2 Phases'!$F$7:$F$12,B60),'3 Feed regimes'!$B$4:$E$4,0)))*'1 Setup'!$B$5/100,0))</f>
        <v>0</v>
      </c>
      <c r="G60" s="15" t="str">
        <f aca="false">IF($B60="","",G59+F60)</f>
        <v/>
      </c>
      <c r="H60" s="14" t="str">
        <f aca="false">IF($B60="","",(E59+E60)/2)</f>
        <v/>
      </c>
      <c r="I60" s="15" t="str">
        <f aca="false">IF($B60="","",IF(C60="Continuous",N(INDEX('2 Phases'!$G$7:$G$12,B60))*G59,0))</f>
        <v/>
      </c>
      <c r="J60" s="15" t="str">
        <f aca="false">IF($B60="","",IF(C60="Continuous",N(INDEX('2 Phases'!$H$7:$H$12,B60))*G59,0))</f>
        <v/>
      </c>
      <c r="K60" s="15" t="str">
        <f aca="false">IF($B60="","",I60-J60)</f>
        <v/>
      </c>
      <c r="L60" s="14" t="str">
        <f aca="false">IF($B60="","",J60*1000*H60)</f>
        <v/>
      </c>
      <c r="M60" s="15" t="str">
        <f aca="false">IF($B60="","",M59+F60+I60)</f>
        <v/>
      </c>
      <c r="N60" s="15" t="str">
        <f aca="false">IF($B60="","",N59+K60)</f>
        <v/>
      </c>
      <c r="O60" s="15" t="str">
        <f aca="false">IF($B60="","",O59+J60)</f>
        <v/>
      </c>
      <c r="P60" s="14" t="str">
        <f aca="false">IF($B60="","",P59+L60)</f>
        <v/>
      </c>
      <c r="Q60" s="18" t="str">
        <f aca="false">IF(OR($B60="",Q59="",'1 Setup'!$C$10=""),"",IF(AND($C60="Continuous",N(INDEX('2 Phases'!$G$7:$G$12,B60))&gt;0),IF('1 Setup'!$G$10="","",MAX(0,('1 Setup'!$G$10+('1 Setup'!$H$10*'1 Setup'!$C$10*0.00000024*$H60)/N(INDEX('2 Phases'!$G$7:$G$12,B60)))+(((Q59*($G59-$F59)+N('1 Setup'!$F$10)*$F59)/$G59)-('1 Setup'!$G$10+('1 Setup'!$H$10*'1 Setup'!$C$10*0.00000024*$H60)/N(INDEX('2 Phases'!$G$7:$G$12,B60))))*EXP(-N(INDEX('2 Phases'!$G$7:$G$12,B60))))),MAX(0,((Q59*($G59-$F59)+N('1 Setup'!$F$10)*$F59)/$G59)+('1 Setup'!$H$10*'1 Setup'!$C$10*0.00000024*$H60))))</f>
        <v/>
      </c>
      <c r="R60" s="18" t="str">
        <f aca="false">IF(OR($B60="",R59="",'1 Setup'!$C$11=""),"",IF(AND($C60="Continuous",N(INDEX('2 Phases'!$G$7:$G$12,B60))&gt;0),IF('1 Setup'!$G$11="","",MAX(0,('1 Setup'!$G$11+('1 Setup'!$H$11*'1 Setup'!$C$11*0.00000024*$H60)/N(INDEX('2 Phases'!$G$7:$G$12,B60)))+(((R59*($G59-$F59)+N('1 Setup'!$F$11)*$F59)/$G59)-('1 Setup'!$G$11+('1 Setup'!$H$11*'1 Setup'!$C$11*0.00000024*$H60)/N(INDEX('2 Phases'!$G$7:$G$12,B60))))*EXP(-N(INDEX('2 Phases'!$G$7:$G$12,B60))))),MAX(0,((R59*($G59-$F59)+N('1 Setup'!$F$11)*$F59)/$G59)+('1 Setup'!$H$11*'1 Setup'!$C$11*0.00000024*$H60))))</f>
        <v/>
      </c>
      <c r="S60" s="18" t="str">
        <f aca="false">IF(OR($B60="",S59="",'1 Setup'!$C$12=""),"",IF(AND($C60="Continuous",N(INDEX('2 Phases'!$G$7:$G$12,B60))&gt;0),IF('1 Setup'!$G$12="","",MAX(0,('1 Setup'!$G$12+('1 Setup'!$H$12*'1 Setup'!$C$12*0.00000024*$H60)/N(INDEX('2 Phases'!$G$7:$G$12,B60)))+(((S59*($G59-$F59)+N('1 Setup'!$F$12)*$F59)/$G59)-('1 Setup'!$G$12+('1 Setup'!$H$12*'1 Setup'!$C$12*0.00000024*$H60)/N(INDEX('2 Phases'!$G$7:$G$12,B60))))*EXP(-N(INDEX('2 Phases'!$G$7:$G$12,B60))))),MAX(0,((S59*($G59-$F59)+N('1 Setup'!$F$12)*$F59)/$G59)+('1 Setup'!$H$12*'1 Setup'!$C$12*0.00000024*$H60))))</f>
        <v/>
      </c>
      <c r="T60" s="18" t="str">
        <f aca="false">IF(OR($B60="",T59="",'1 Setup'!$C$13=""),"",IF(AND($C60="Continuous",N(INDEX('2 Phases'!$G$7:$G$12,B60))&gt;0),IF('1 Setup'!$G$13="","",MAX(0,('1 Setup'!$G$13+('1 Setup'!$H$13*'1 Setup'!$C$13*0.00000024*$H60)/N(INDEX('2 Phases'!$G$7:$G$12,B60)))+(((T59*($G59-$F59)+N('1 Setup'!$F$13)*$F59)/$G59)-('1 Setup'!$G$13+('1 Setup'!$H$13*'1 Setup'!$C$13*0.00000024*$H60)/N(INDEX('2 Phases'!$G$7:$G$12,B60))))*EXP(-N(INDEX('2 Phases'!$G$7:$G$12,B60))))),MAX(0,((T59*($G59-$F59)+N('1 Setup'!$F$13)*$F59)/$G59)+('1 Setup'!$H$13*'1 Setup'!$C$13*0.00000024*$H60))))</f>
        <v/>
      </c>
      <c r="U60" s="18" t="str">
        <f aca="false">IF(OR($B60="",U59="",'1 Setup'!$C$14=""),"",IF(AND($C60="Continuous",N(INDEX('2 Phases'!$G$7:$G$12,B60))&gt;0),IF('1 Setup'!$G$14="","",MAX(0,('1 Setup'!$G$14+('1 Setup'!$H$14*'1 Setup'!$C$14*0.00000024*$H60)/N(INDEX('2 Phases'!$G$7:$G$12,B60)))+(((U59*($G59-$F59)+N('1 Setup'!$F$14)*$F59)/$G59)-('1 Setup'!$G$14+('1 Setup'!$H$14*'1 Setup'!$C$14*0.00000024*$H60)/N(INDEX('2 Phases'!$G$7:$G$12,B60))))*EXP(-N(INDEX('2 Phases'!$G$7:$G$12,B60))))),MAX(0,((U59*($G59-$F59)+N('1 Setup'!$F$14)*$F59)/$G59)+('1 Setup'!$H$14*'1 Setup'!$C$14*0.00000024*$H60))))</f>
        <v/>
      </c>
      <c r="V60" s="18" t="str">
        <f aca="false">IF($B60="","",E60/1000000*'1 Setup'!$B$7)</f>
        <v/>
      </c>
      <c r="W60" s="18" t="str">
        <f aca="false">IF($B60="","",V60*G60)</f>
        <v/>
      </c>
      <c r="X60" s="18" t="str">
        <f aca="false">IF($B60="","",P60*'1 Setup'!$B$7/1000000000)</f>
        <v/>
      </c>
      <c r="Y60" s="18" t="str">
        <f aca="false">IF($B60="","",L60*'1 Setup'!$B$7/1000000000)</f>
        <v/>
      </c>
    </row>
    <row r="61" customFormat="false" ht="15" hidden="false" customHeight="false" outlineLevel="0" collapsed="false">
      <c r="A61" s="7" t="n">
        <v>55</v>
      </c>
      <c r="B61" s="7" t="str">
        <f aca="false">IF(A61&gt;'2 Phases'!$D$4,"",IF(A61=0,1,COUNTIF('2 Phases'!$M$7:$M$12,"&lt;"&amp;A61)+1))</f>
        <v/>
      </c>
      <c r="C61" s="7" t="str">
        <f aca="false">IF($B61="","",INDEX('2 Phases'!$C$7:$C$12,B61))</f>
        <v/>
      </c>
      <c r="D61" s="7" t="str">
        <f aca="false">IF($B61="","",A61-INDEX('2 Phases'!$L$7:$L$12,B61))</f>
        <v/>
      </c>
      <c r="E61" s="14" t="str">
        <f aca="false">IF($B61="","",IFERROR(IF(C61="Continuous",INDEX('2 Phases'!$N$7:$N$12,B61)*EXP((INDEX('2 Phases'!$P$7:$P$12,B61)-N(INDEX('2 Phases'!$H$7:$H$12,B61)))*D61),INDEX('2 Phases'!$N$7:$N$12,B61)*(IF(INDEX('2 Phases'!$E$7:$E$12,B61)="",INDEX('2 Phases'!$N$7:$N$12,B61),INDEX('2 Phases'!$E$7:$E$12,B61))/INDEX('2 Phases'!$N$7:$N$12,B61))^(D61/INDEX('2 Phases'!$D$7:$D$12,B61))),""))</f>
        <v/>
      </c>
      <c r="F61" s="15" t="n">
        <f aca="false">IF(OR($B61="",C61&lt;&gt;"Fed-batch",D61=0),0,IFERROR(N(INDEX('3 Feed regimes'!$B$6:$E$35,D61,MATCH(INDEX('2 Phases'!$F$7:$F$12,B61),'3 Feed regimes'!$B$4:$E$4,0)))*'1 Setup'!$B$5/100,0))</f>
        <v>0</v>
      </c>
      <c r="G61" s="15" t="str">
        <f aca="false">IF($B61="","",G60+F61)</f>
        <v/>
      </c>
      <c r="H61" s="14" t="str">
        <f aca="false">IF($B61="","",(E60+E61)/2)</f>
        <v/>
      </c>
      <c r="I61" s="15" t="str">
        <f aca="false">IF($B61="","",IF(C61="Continuous",N(INDEX('2 Phases'!$G$7:$G$12,B61))*G60,0))</f>
        <v/>
      </c>
      <c r="J61" s="15" t="str">
        <f aca="false">IF($B61="","",IF(C61="Continuous",N(INDEX('2 Phases'!$H$7:$H$12,B61))*G60,0))</f>
        <v/>
      </c>
      <c r="K61" s="15" t="str">
        <f aca="false">IF($B61="","",I61-J61)</f>
        <v/>
      </c>
      <c r="L61" s="14" t="str">
        <f aca="false">IF($B61="","",J61*1000*H61)</f>
        <v/>
      </c>
      <c r="M61" s="15" t="str">
        <f aca="false">IF($B61="","",M60+F61+I61)</f>
        <v/>
      </c>
      <c r="N61" s="15" t="str">
        <f aca="false">IF($B61="","",N60+K61)</f>
        <v/>
      </c>
      <c r="O61" s="15" t="str">
        <f aca="false">IF($B61="","",O60+J61)</f>
        <v/>
      </c>
      <c r="P61" s="14" t="str">
        <f aca="false">IF($B61="","",P60+L61)</f>
        <v/>
      </c>
      <c r="Q61" s="18" t="str">
        <f aca="false">IF(OR($B61="",Q60="",'1 Setup'!$C$10=""),"",IF(AND($C61="Continuous",N(INDEX('2 Phases'!$G$7:$G$12,B61))&gt;0),IF('1 Setup'!$G$10="","",MAX(0,('1 Setup'!$G$10+('1 Setup'!$H$10*'1 Setup'!$C$10*0.00000024*$H61)/N(INDEX('2 Phases'!$G$7:$G$12,B61)))+(((Q60*($G60-$F60)+N('1 Setup'!$F$10)*$F60)/$G60)-('1 Setup'!$G$10+('1 Setup'!$H$10*'1 Setup'!$C$10*0.00000024*$H61)/N(INDEX('2 Phases'!$G$7:$G$12,B61))))*EXP(-N(INDEX('2 Phases'!$G$7:$G$12,B61))))),MAX(0,((Q60*($G60-$F60)+N('1 Setup'!$F$10)*$F60)/$G60)+('1 Setup'!$H$10*'1 Setup'!$C$10*0.00000024*$H61))))</f>
        <v/>
      </c>
      <c r="R61" s="18" t="str">
        <f aca="false">IF(OR($B61="",R60="",'1 Setup'!$C$11=""),"",IF(AND($C61="Continuous",N(INDEX('2 Phases'!$G$7:$G$12,B61))&gt;0),IF('1 Setup'!$G$11="","",MAX(0,('1 Setup'!$G$11+('1 Setup'!$H$11*'1 Setup'!$C$11*0.00000024*$H61)/N(INDEX('2 Phases'!$G$7:$G$12,B61)))+(((R60*($G60-$F60)+N('1 Setup'!$F$11)*$F60)/$G60)-('1 Setup'!$G$11+('1 Setup'!$H$11*'1 Setup'!$C$11*0.00000024*$H61)/N(INDEX('2 Phases'!$G$7:$G$12,B61))))*EXP(-N(INDEX('2 Phases'!$G$7:$G$12,B61))))),MAX(0,((R60*($G60-$F60)+N('1 Setup'!$F$11)*$F60)/$G60)+('1 Setup'!$H$11*'1 Setup'!$C$11*0.00000024*$H61))))</f>
        <v/>
      </c>
      <c r="S61" s="18" t="str">
        <f aca="false">IF(OR($B61="",S60="",'1 Setup'!$C$12=""),"",IF(AND($C61="Continuous",N(INDEX('2 Phases'!$G$7:$G$12,B61))&gt;0),IF('1 Setup'!$G$12="","",MAX(0,('1 Setup'!$G$12+('1 Setup'!$H$12*'1 Setup'!$C$12*0.00000024*$H61)/N(INDEX('2 Phases'!$G$7:$G$12,B61)))+(((S60*($G60-$F60)+N('1 Setup'!$F$12)*$F60)/$G60)-('1 Setup'!$G$12+('1 Setup'!$H$12*'1 Setup'!$C$12*0.00000024*$H61)/N(INDEX('2 Phases'!$G$7:$G$12,B61))))*EXP(-N(INDEX('2 Phases'!$G$7:$G$12,B61))))),MAX(0,((S60*($G60-$F60)+N('1 Setup'!$F$12)*$F60)/$G60)+('1 Setup'!$H$12*'1 Setup'!$C$12*0.00000024*$H61))))</f>
        <v/>
      </c>
      <c r="T61" s="18" t="str">
        <f aca="false">IF(OR($B61="",T60="",'1 Setup'!$C$13=""),"",IF(AND($C61="Continuous",N(INDEX('2 Phases'!$G$7:$G$12,B61))&gt;0),IF('1 Setup'!$G$13="","",MAX(0,('1 Setup'!$G$13+('1 Setup'!$H$13*'1 Setup'!$C$13*0.00000024*$H61)/N(INDEX('2 Phases'!$G$7:$G$12,B61)))+(((T60*($G60-$F60)+N('1 Setup'!$F$13)*$F60)/$G60)-('1 Setup'!$G$13+('1 Setup'!$H$13*'1 Setup'!$C$13*0.00000024*$H61)/N(INDEX('2 Phases'!$G$7:$G$12,B61))))*EXP(-N(INDEX('2 Phases'!$G$7:$G$12,B61))))),MAX(0,((T60*($G60-$F60)+N('1 Setup'!$F$13)*$F60)/$G60)+('1 Setup'!$H$13*'1 Setup'!$C$13*0.00000024*$H61))))</f>
        <v/>
      </c>
      <c r="U61" s="18" t="str">
        <f aca="false">IF(OR($B61="",U60="",'1 Setup'!$C$14=""),"",IF(AND($C61="Continuous",N(INDEX('2 Phases'!$G$7:$G$12,B61))&gt;0),IF('1 Setup'!$G$14="","",MAX(0,('1 Setup'!$G$14+('1 Setup'!$H$14*'1 Setup'!$C$14*0.00000024*$H61)/N(INDEX('2 Phases'!$G$7:$G$12,B61)))+(((U60*($G60-$F60)+N('1 Setup'!$F$14)*$F60)/$G60)-('1 Setup'!$G$14+('1 Setup'!$H$14*'1 Setup'!$C$14*0.00000024*$H61)/N(INDEX('2 Phases'!$G$7:$G$12,B61))))*EXP(-N(INDEX('2 Phases'!$G$7:$G$12,B61))))),MAX(0,((U60*($G60-$F60)+N('1 Setup'!$F$14)*$F60)/$G60)+('1 Setup'!$H$14*'1 Setup'!$C$14*0.00000024*$H61))))</f>
        <v/>
      </c>
      <c r="V61" s="18" t="str">
        <f aca="false">IF($B61="","",E61/1000000*'1 Setup'!$B$7)</f>
        <v/>
      </c>
      <c r="W61" s="18" t="str">
        <f aca="false">IF($B61="","",V61*G61)</f>
        <v/>
      </c>
      <c r="X61" s="18" t="str">
        <f aca="false">IF($B61="","",P61*'1 Setup'!$B$7/1000000000)</f>
        <v/>
      </c>
      <c r="Y61" s="18" t="str">
        <f aca="false">IF($B61="","",L61*'1 Setup'!$B$7/1000000000)</f>
        <v/>
      </c>
    </row>
    <row r="62" customFormat="false" ht="15" hidden="false" customHeight="false" outlineLevel="0" collapsed="false">
      <c r="A62" s="7" t="n">
        <v>56</v>
      </c>
      <c r="B62" s="7" t="str">
        <f aca="false">IF(A62&gt;'2 Phases'!$D$4,"",IF(A62=0,1,COUNTIF('2 Phases'!$M$7:$M$12,"&lt;"&amp;A62)+1))</f>
        <v/>
      </c>
      <c r="C62" s="7" t="str">
        <f aca="false">IF($B62="","",INDEX('2 Phases'!$C$7:$C$12,B62))</f>
        <v/>
      </c>
      <c r="D62" s="7" t="str">
        <f aca="false">IF($B62="","",A62-INDEX('2 Phases'!$L$7:$L$12,B62))</f>
        <v/>
      </c>
      <c r="E62" s="14" t="str">
        <f aca="false">IF($B62="","",IFERROR(IF(C62="Continuous",INDEX('2 Phases'!$N$7:$N$12,B62)*EXP((INDEX('2 Phases'!$P$7:$P$12,B62)-N(INDEX('2 Phases'!$H$7:$H$12,B62)))*D62),INDEX('2 Phases'!$N$7:$N$12,B62)*(IF(INDEX('2 Phases'!$E$7:$E$12,B62)="",INDEX('2 Phases'!$N$7:$N$12,B62),INDEX('2 Phases'!$E$7:$E$12,B62))/INDEX('2 Phases'!$N$7:$N$12,B62))^(D62/INDEX('2 Phases'!$D$7:$D$12,B62))),""))</f>
        <v/>
      </c>
      <c r="F62" s="15" t="n">
        <f aca="false">IF(OR($B62="",C62&lt;&gt;"Fed-batch",D62=0),0,IFERROR(N(INDEX('3 Feed regimes'!$B$6:$E$35,D62,MATCH(INDEX('2 Phases'!$F$7:$F$12,B62),'3 Feed regimes'!$B$4:$E$4,0)))*'1 Setup'!$B$5/100,0))</f>
        <v>0</v>
      </c>
      <c r="G62" s="15" t="str">
        <f aca="false">IF($B62="","",G61+F62)</f>
        <v/>
      </c>
      <c r="H62" s="14" t="str">
        <f aca="false">IF($B62="","",(E61+E62)/2)</f>
        <v/>
      </c>
      <c r="I62" s="15" t="str">
        <f aca="false">IF($B62="","",IF(C62="Continuous",N(INDEX('2 Phases'!$G$7:$G$12,B62))*G61,0))</f>
        <v/>
      </c>
      <c r="J62" s="15" t="str">
        <f aca="false">IF($B62="","",IF(C62="Continuous",N(INDEX('2 Phases'!$H$7:$H$12,B62))*G61,0))</f>
        <v/>
      </c>
      <c r="K62" s="15" t="str">
        <f aca="false">IF($B62="","",I62-J62)</f>
        <v/>
      </c>
      <c r="L62" s="14" t="str">
        <f aca="false">IF($B62="","",J62*1000*H62)</f>
        <v/>
      </c>
      <c r="M62" s="15" t="str">
        <f aca="false">IF($B62="","",M61+F62+I62)</f>
        <v/>
      </c>
      <c r="N62" s="15" t="str">
        <f aca="false">IF($B62="","",N61+K62)</f>
        <v/>
      </c>
      <c r="O62" s="15" t="str">
        <f aca="false">IF($B62="","",O61+J62)</f>
        <v/>
      </c>
      <c r="P62" s="14" t="str">
        <f aca="false">IF($B62="","",P61+L62)</f>
        <v/>
      </c>
      <c r="Q62" s="18" t="str">
        <f aca="false">IF(OR($B62="",Q61="",'1 Setup'!$C$10=""),"",IF(AND($C62="Continuous",N(INDEX('2 Phases'!$G$7:$G$12,B62))&gt;0),IF('1 Setup'!$G$10="","",MAX(0,('1 Setup'!$G$10+('1 Setup'!$H$10*'1 Setup'!$C$10*0.00000024*$H62)/N(INDEX('2 Phases'!$G$7:$G$12,B62)))+(((Q61*($G61-$F61)+N('1 Setup'!$F$10)*$F61)/$G61)-('1 Setup'!$G$10+('1 Setup'!$H$10*'1 Setup'!$C$10*0.00000024*$H62)/N(INDEX('2 Phases'!$G$7:$G$12,B62))))*EXP(-N(INDEX('2 Phases'!$G$7:$G$12,B62))))),MAX(0,((Q61*($G61-$F61)+N('1 Setup'!$F$10)*$F61)/$G61)+('1 Setup'!$H$10*'1 Setup'!$C$10*0.00000024*$H62))))</f>
        <v/>
      </c>
      <c r="R62" s="18" t="str">
        <f aca="false">IF(OR($B62="",R61="",'1 Setup'!$C$11=""),"",IF(AND($C62="Continuous",N(INDEX('2 Phases'!$G$7:$G$12,B62))&gt;0),IF('1 Setup'!$G$11="","",MAX(0,('1 Setup'!$G$11+('1 Setup'!$H$11*'1 Setup'!$C$11*0.00000024*$H62)/N(INDEX('2 Phases'!$G$7:$G$12,B62)))+(((R61*($G61-$F61)+N('1 Setup'!$F$11)*$F61)/$G61)-('1 Setup'!$G$11+('1 Setup'!$H$11*'1 Setup'!$C$11*0.00000024*$H62)/N(INDEX('2 Phases'!$G$7:$G$12,B62))))*EXP(-N(INDEX('2 Phases'!$G$7:$G$12,B62))))),MAX(0,((R61*($G61-$F61)+N('1 Setup'!$F$11)*$F61)/$G61)+('1 Setup'!$H$11*'1 Setup'!$C$11*0.00000024*$H62))))</f>
        <v/>
      </c>
      <c r="S62" s="18" t="str">
        <f aca="false">IF(OR($B62="",S61="",'1 Setup'!$C$12=""),"",IF(AND($C62="Continuous",N(INDEX('2 Phases'!$G$7:$G$12,B62))&gt;0),IF('1 Setup'!$G$12="","",MAX(0,('1 Setup'!$G$12+('1 Setup'!$H$12*'1 Setup'!$C$12*0.00000024*$H62)/N(INDEX('2 Phases'!$G$7:$G$12,B62)))+(((S61*($G61-$F61)+N('1 Setup'!$F$12)*$F61)/$G61)-('1 Setup'!$G$12+('1 Setup'!$H$12*'1 Setup'!$C$12*0.00000024*$H62)/N(INDEX('2 Phases'!$G$7:$G$12,B62))))*EXP(-N(INDEX('2 Phases'!$G$7:$G$12,B62))))),MAX(0,((S61*($G61-$F61)+N('1 Setup'!$F$12)*$F61)/$G61)+('1 Setup'!$H$12*'1 Setup'!$C$12*0.00000024*$H62))))</f>
        <v/>
      </c>
      <c r="T62" s="18" t="str">
        <f aca="false">IF(OR($B62="",T61="",'1 Setup'!$C$13=""),"",IF(AND($C62="Continuous",N(INDEX('2 Phases'!$G$7:$G$12,B62))&gt;0),IF('1 Setup'!$G$13="","",MAX(0,('1 Setup'!$G$13+('1 Setup'!$H$13*'1 Setup'!$C$13*0.00000024*$H62)/N(INDEX('2 Phases'!$G$7:$G$12,B62)))+(((T61*($G61-$F61)+N('1 Setup'!$F$13)*$F61)/$G61)-('1 Setup'!$G$13+('1 Setup'!$H$13*'1 Setup'!$C$13*0.00000024*$H62)/N(INDEX('2 Phases'!$G$7:$G$12,B62))))*EXP(-N(INDEX('2 Phases'!$G$7:$G$12,B62))))),MAX(0,((T61*($G61-$F61)+N('1 Setup'!$F$13)*$F61)/$G61)+('1 Setup'!$H$13*'1 Setup'!$C$13*0.00000024*$H62))))</f>
        <v/>
      </c>
      <c r="U62" s="18" t="str">
        <f aca="false">IF(OR($B62="",U61="",'1 Setup'!$C$14=""),"",IF(AND($C62="Continuous",N(INDEX('2 Phases'!$G$7:$G$12,B62))&gt;0),IF('1 Setup'!$G$14="","",MAX(0,('1 Setup'!$G$14+('1 Setup'!$H$14*'1 Setup'!$C$14*0.00000024*$H62)/N(INDEX('2 Phases'!$G$7:$G$12,B62)))+(((U61*($G61-$F61)+N('1 Setup'!$F$14)*$F61)/$G61)-('1 Setup'!$G$14+('1 Setup'!$H$14*'1 Setup'!$C$14*0.00000024*$H62)/N(INDEX('2 Phases'!$G$7:$G$12,B62))))*EXP(-N(INDEX('2 Phases'!$G$7:$G$12,B62))))),MAX(0,((U61*($G61-$F61)+N('1 Setup'!$F$14)*$F61)/$G61)+('1 Setup'!$H$14*'1 Setup'!$C$14*0.00000024*$H62))))</f>
        <v/>
      </c>
      <c r="V62" s="18" t="str">
        <f aca="false">IF($B62="","",E62/1000000*'1 Setup'!$B$7)</f>
        <v/>
      </c>
      <c r="W62" s="18" t="str">
        <f aca="false">IF($B62="","",V62*G62)</f>
        <v/>
      </c>
      <c r="X62" s="18" t="str">
        <f aca="false">IF($B62="","",P62*'1 Setup'!$B$7/1000000000)</f>
        <v/>
      </c>
      <c r="Y62" s="18" t="str">
        <f aca="false">IF($B62="","",L62*'1 Setup'!$B$7/1000000000)</f>
        <v/>
      </c>
    </row>
    <row r="63" customFormat="false" ht="15" hidden="false" customHeight="false" outlineLevel="0" collapsed="false">
      <c r="A63" s="7" t="n">
        <v>57</v>
      </c>
      <c r="B63" s="7" t="str">
        <f aca="false">IF(A63&gt;'2 Phases'!$D$4,"",IF(A63=0,1,COUNTIF('2 Phases'!$M$7:$M$12,"&lt;"&amp;A63)+1))</f>
        <v/>
      </c>
      <c r="C63" s="7" t="str">
        <f aca="false">IF($B63="","",INDEX('2 Phases'!$C$7:$C$12,B63))</f>
        <v/>
      </c>
      <c r="D63" s="7" t="str">
        <f aca="false">IF($B63="","",A63-INDEX('2 Phases'!$L$7:$L$12,B63))</f>
        <v/>
      </c>
      <c r="E63" s="14" t="str">
        <f aca="false">IF($B63="","",IFERROR(IF(C63="Continuous",INDEX('2 Phases'!$N$7:$N$12,B63)*EXP((INDEX('2 Phases'!$P$7:$P$12,B63)-N(INDEX('2 Phases'!$H$7:$H$12,B63)))*D63),INDEX('2 Phases'!$N$7:$N$12,B63)*(IF(INDEX('2 Phases'!$E$7:$E$12,B63)="",INDEX('2 Phases'!$N$7:$N$12,B63),INDEX('2 Phases'!$E$7:$E$12,B63))/INDEX('2 Phases'!$N$7:$N$12,B63))^(D63/INDEX('2 Phases'!$D$7:$D$12,B63))),""))</f>
        <v/>
      </c>
      <c r="F63" s="15" t="n">
        <f aca="false">IF(OR($B63="",C63&lt;&gt;"Fed-batch",D63=0),0,IFERROR(N(INDEX('3 Feed regimes'!$B$6:$E$35,D63,MATCH(INDEX('2 Phases'!$F$7:$F$12,B63),'3 Feed regimes'!$B$4:$E$4,0)))*'1 Setup'!$B$5/100,0))</f>
        <v>0</v>
      </c>
      <c r="G63" s="15" t="str">
        <f aca="false">IF($B63="","",G62+F63)</f>
        <v/>
      </c>
      <c r="H63" s="14" t="str">
        <f aca="false">IF($B63="","",(E62+E63)/2)</f>
        <v/>
      </c>
      <c r="I63" s="15" t="str">
        <f aca="false">IF($B63="","",IF(C63="Continuous",N(INDEX('2 Phases'!$G$7:$G$12,B63))*G62,0))</f>
        <v/>
      </c>
      <c r="J63" s="15" t="str">
        <f aca="false">IF($B63="","",IF(C63="Continuous",N(INDEX('2 Phases'!$H$7:$H$12,B63))*G62,0))</f>
        <v/>
      </c>
      <c r="K63" s="15" t="str">
        <f aca="false">IF($B63="","",I63-J63)</f>
        <v/>
      </c>
      <c r="L63" s="14" t="str">
        <f aca="false">IF($B63="","",J63*1000*H63)</f>
        <v/>
      </c>
      <c r="M63" s="15" t="str">
        <f aca="false">IF($B63="","",M62+F63+I63)</f>
        <v/>
      </c>
      <c r="N63" s="15" t="str">
        <f aca="false">IF($B63="","",N62+K63)</f>
        <v/>
      </c>
      <c r="O63" s="15" t="str">
        <f aca="false">IF($B63="","",O62+J63)</f>
        <v/>
      </c>
      <c r="P63" s="14" t="str">
        <f aca="false">IF($B63="","",P62+L63)</f>
        <v/>
      </c>
      <c r="Q63" s="18" t="str">
        <f aca="false">IF(OR($B63="",Q62="",'1 Setup'!$C$10=""),"",IF(AND($C63="Continuous",N(INDEX('2 Phases'!$G$7:$G$12,B63))&gt;0),IF('1 Setup'!$G$10="","",MAX(0,('1 Setup'!$G$10+('1 Setup'!$H$10*'1 Setup'!$C$10*0.00000024*$H63)/N(INDEX('2 Phases'!$G$7:$G$12,B63)))+(((Q62*($G62-$F62)+N('1 Setup'!$F$10)*$F62)/$G62)-('1 Setup'!$G$10+('1 Setup'!$H$10*'1 Setup'!$C$10*0.00000024*$H63)/N(INDEX('2 Phases'!$G$7:$G$12,B63))))*EXP(-N(INDEX('2 Phases'!$G$7:$G$12,B63))))),MAX(0,((Q62*($G62-$F62)+N('1 Setup'!$F$10)*$F62)/$G62)+('1 Setup'!$H$10*'1 Setup'!$C$10*0.00000024*$H63))))</f>
        <v/>
      </c>
      <c r="R63" s="18" t="str">
        <f aca="false">IF(OR($B63="",R62="",'1 Setup'!$C$11=""),"",IF(AND($C63="Continuous",N(INDEX('2 Phases'!$G$7:$G$12,B63))&gt;0),IF('1 Setup'!$G$11="","",MAX(0,('1 Setup'!$G$11+('1 Setup'!$H$11*'1 Setup'!$C$11*0.00000024*$H63)/N(INDEX('2 Phases'!$G$7:$G$12,B63)))+(((R62*($G62-$F62)+N('1 Setup'!$F$11)*$F62)/$G62)-('1 Setup'!$G$11+('1 Setup'!$H$11*'1 Setup'!$C$11*0.00000024*$H63)/N(INDEX('2 Phases'!$G$7:$G$12,B63))))*EXP(-N(INDEX('2 Phases'!$G$7:$G$12,B63))))),MAX(0,((R62*($G62-$F62)+N('1 Setup'!$F$11)*$F62)/$G62)+('1 Setup'!$H$11*'1 Setup'!$C$11*0.00000024*$H63))))</f>
        <v/>
      </c>
      <c r="S63" s="18" t="str">
        <f aca="false">IF(OR($B63="",S62="",'1 Setup'!$C$12=""),"",IF(AND($C63="Continuous",N(INDEX('2 Phases'!$G$7:$G$12,B63))&gt;0),IF('1 Setup'!$G$12="","",MAX(0,('1 Setup'!$G$12+('1 Setup'!$H$12*'1 Setup'!$C$12*0.00000024*$H63)/N(INDEX('2 Phases'!$G$7:$G$12,B63)))+(((S62*($G62-$F62)+N('1 Setup'!$F$12)*$F62)/$G62)-('1 Setup'!$G$12+('1 Setup'!$H$12*'1 Setup'!$C$12*0.00000024*$H63)/N(INDEX('2 Phases'!$G$7:$G$12,B63))))*EXP(-N(INDEX('2 Phases'!$G$7:$G$12,B63))))),MAX(0,((S62*($G62-$F62)+N('1 Setup'!$F$12)*$F62)/$G62)+('1 Setup'!$H$12*'1 Setup'!$C$12*0.00000024*$H63))))</f>
        <v/>
      </c>
      <c r="T63" s="18" t="str">
        <f aca="false">IF(OR($B63="",T62="",'1 Setup'!$C$13=""),"",IF(AND($C63="Continuous",N(INDEX('2 Phases'!$G$7:$G$12,B63))&gt;0),IF('1 Setup'!$G$13="","",MAX(0,('1 Setup'!$G$13+('1 Setup'!$H$13*'1 Setup'!$C$13*0.00000024*$H63)/N(INDEX('2 Phases'!$G$7:$G$12,B63)))+(((T62*($G62-$F62)+N('1 Setup'!$F$13)*$F62)/$G62)-('1 Setup'!$G$13+('1 Setup'!$H$13*'1 Setup'!$C$13*0.00000024*$H63)/N(INDEX('2 Phases'!$G$7:$G$12,B63))))*EXP(-N(INDEX('2 Phases'!$G$7:$G$12,B63))))),MAX(0,((T62*($G62-$F62)+N('1 Setup'!$F$13)*$F62)/$G62)+('1 Setup'!$H$13*'1 Setup'!$C$13*0.00000024*$H63))))</f>
        <v/>
      </c>
      <c r="U63" s="18" t="str">
        <f aca="false">IF(OR($B63="",U62="",'1 Setup'!$C$14=""),"",IF(AND($C63="Continuous",N(INDEX('2 Phases'!$G$7:$G$12,B63))&gt;0),IF('1 Setup'!$G$14="","",MAX(0,('1 Setup'!$G$14+('1 Setup'!$H$14*'1 Setup'!$C$14*0.00000024*$H63)/N(INDEX('2 Phases'!$G$7:$G$12,B63)))+(((U62*($G62-$F62)+N('1 Setup'!$F$14)*$F62)/$G62)-('1 Setup'!$G$14+('1 Setup'!$H$14*'1 Setup'!$C$14*0.00000024*$H63)/N(INDEX('2 Phases'!$G$7:$G$12,B63))))*EXP(-N(INDEX('2 Phases'!$G$7:$G$12,B63))))),MAX(0,((U62*($G62-$F62)+N('1 Setup'!$F$14)*$F62)/$G62)+('1 Setup'!$H$14*'1 Setup'!$C$14*0.00000024*$H63))))</f>
        <v/>
      </c>
      <c r="V63" s="18" t="str">
        <f aca="false">IF($B63="","",E63/1000000*'1 Setup'!$B$7)</f>
        <v/>
      </c>
      <c r="W63" s="18" t="str">
        <f aca="false">IF($B63="","",V63*G63)</f>
        <v/>
      </c>
      <c r="X63" s="18" t="str">
        <f aca="false">IF($B63="","",P63*'1 Setup'!$B$7/1000000000)</f>
        <v/>
      </c>
      <c r="Y63" s="18" t="str">
        <f aca="false">IF($B63="","",L63*'1 Setup'!$B$7/1000000000)</f>
        <v/>
      </c>
    </row>
    <row r="64" customFormat="false" ht="15" hidden="false" customHeight="false" outlineLevel="0" collapsed="false">
      <c r="A64" s="7" t="n">
        <v>58</v>
      </c>
      <c r="B64" s="7" t="str">
        <f aca="false">IF(A64&gt;'2 Phases'!$D$4,"",IF(A64=0,1,COUNTIF('2 Phases'!$M$7:$M$12,"&lt;"&amp;A64)+1))</f>
        <v/>
      </c>
      <c r="C64" s="7" t="str">
        <f aca="false">IF($B64="","",INDEX('2 Phases'!$C$7:$C$12,B64))</f>
        <v/>
      </c>
      <c r="D64" s="7" t="str">
        <f aca="false">IF($B64="","",A64-INDEX('2 Phases'!$L$7:$L$12,B64))</f>
        <v/>
      </c>
      <c r="E64" s="14" t="str">
        <f aca="false">IF($B64="","",IFERROR(IF(C64="Continuous",INDEX('2 Phases'!$N$7:$N$12,B64)*EXP((INDEX('2 Phases'!$P$7:$P$12,B64)-N(INDEX('2 Phases'!$H$7:$H$12,B64)))*D64),INDEX('2 Phases'!$N$7:$N$12,B64)*(IF(INDEX('2 Phases'!$E$7:$E$12,B64)="",INDEX('2 Phases'!$N$7:$N$12,B64),INDEX('2 Phases'!$E$7:$E$12,B64))/INDEX('2 Phases'!$N$7:$N$12,B64))^(D64/INDEX('2 Phases'!$D$7:$D$12,B64))),""))</f>
        <v/>
      </c>
      <c r="F64" s="15" t="n">
        <f aca="false">IF(OR($B64="",C64&lt;&gt;"Fed-batch",D64=0),0,IFERROR(N(INDEX('3 Feed regimes'!$B$6:$E$35,D64,MATCH(INDEX('2 Phases'!$F$7:$F$12,B64),'3 Feed regimes'!$B$4:$E$4,0)))*'1 Setup'!$B$5/100,0))</f>
        <v>0</v>
      </c>
      <c r="G64" s="15" t="str">
        <f aca="false">IF($B64="","",G63+F64)</f>
        <v/>
      </c>
      <c r="H64" s="14" t="str">
        <f aca="false">IF($B64="","",(E63+E64)/2)</f>
        <v/>
      </c>
      <c r="I64" s="15" t="str">
        <f aca="false">IF($B64="","",IF(C64="Continuous",N(INDEX('2 Phases'!$G$7:$G$12,B64))*G63,0))</f>
        <v/>
      </c>
      <c r="J64" s="15" t="str">
        <f aca="false">IF($B64="","",IF(C64="Continuous",N(INDEX('2 Phases'!$H$7:$H$12,B64))*G63,0))</f>
        <v/>
      </c>
      <c r="K64" s="15" t="str">
        <f aca="false">IF($B64="","",I64-J64)</f>
        <v/>
      </c>
      <c r="L64" s="14" t="str">
        <f aca="false">IF($B64="","",J64*1000*H64)</f>
        <v/>
      </c>
      <c r="M64" s="15" t="str">
        <f aca="false">IF($B64="","",M63+F64+I64)</f>
        <v/>
      </c>
      <c r="N64" s="15" t="str">
        <f aca="false">IF($B64="","",N63+K64)</f>
        <v/>
      </c>
      <c r="O64" s="15" t="str">
        <f aca="false">IF($B64="","",O63+J64)</f>
        <v/>
      </c>
      <c r="P64" s="14" t="str">
        <f aca="false">IF($B64="","",P63+L64)</f>
        <v/>
      </c>
      <c r="Q64" s="18" t="str">
        <f aca="false">IF(OR($B64="",Q63="",'1 Setup'!$C$10=""),"",IF(AND($C64="Continuous",N(INDEX('2 Phases'!$G$7:$G$12,B64))&gt;0),IF('1 Setup'!$G$10="","",MAX(0,('1 Setup'!$G$10+('1 Setup'!$H$10*'1 Setup'!$C$10*0.00000024*$H64)/N(INDEX('2 Phases'!$G$7:$G$12,B64)))+(((Q63*($G63-$F63)+N('1 Setup'!$F$10)*$F63)/$G63)-('1 Setup'!$G$10+('1 Setup'!$H$10*'1 Setup'!$C$10*0.00000024*$H64)/N(INDEX('2 Phases'!$G$7:$G$12,B64))))*EXP(-N(INDEX('2 Phases'!$G$7:$G$12,B64))))),MAX(0,((Q63*($G63-$F63)+N('1 Setup'!$F$10)*$F63)/$G63)+('1 Setup'!$H$10*'1 Setup'!$C$10*0.00000024*$H64))))</f>
        <v/>
      </c>
      <c r="R64" s="18" t="str">
        <f aca="false">IF(OR($B64="",R63="",'1 Setup'!$C$11=""),"",IF(AND($C64="Continuous",N(INDEX('2 Phases'!$G$7:$G$12,B64))&gt;0),IF('1 Setup'!$G$11="","",MAX(0,('1 Setup'!$G$11+('1 Setup'!$H$11*'1 Setup'!$C$11*0.00000024*$H64)/N(INDEX('2 Phases'!$G$7:$G$12,B64)))+(((R63*($G63-$F63)+N('1 Setup'!$F$11)*$F63)/$G63)-('1 Setup'!$G$11+('1 Setup'!$H$11*'1 Setup'!$C$11*0.00000024*$H64)/N(INDEX('2 Phases'!$G$7:$G$12,B64))))*EXP(-N(INDEX('2 Phases'!$G$7:$G$12,B64))))),MAX(0,((R63*($G63-$F63)+N('1 Setup'!$F$11)*$F63)/$G63)+('1 Setup'!$H$11*'1 Setup'!$C$11*0.00000024*$H64))))</f>
        <v/>
      </c>
      <c r="S64" s="18" t="str">
        <f aca="false">IF(OR($B64="",S63="",'1 Setup'!$C$12=""),"",IF(AND($C64="Continuous",N(INDEX('2 Phases'!$G$7:$G$12,B64))&gt;0),IF('1 Setup'!$G$12="","",MAX(0,('1 Setup'!$G$12+('1 Setup'!$H$12*'1 Setup'!$C$12*0.00000024*$H64)/N(INDEX('2 Phases'!$G$7:$G$12,B64)))+(((S63*($G63-$F63)+N('1 Setup'!$F$12)*$F63)/$G63)-('1 Setup'!$G$12+('1 Setup'!$H$12*'1 Setup'!$C$12*0.00000024*$H64)/N(INDEX('2 Phases'!$G$7:$G$12,B64))))*EXP(-N(INDEX('2 Phases'!$G$7:$G$12,B64))))),MAX(0,((S63*($G63-$F63)+N('1 Setup'!$F$12)*$F63)/$G63)+('1 Setup'!$H$12*'1 Setup'!$C$12*0.00000024*$H64))))</f>
        <v/>
      </c>
      <c r="T64" s="18" t="str">
        <f aca="false">IF(OR($B64="",T63="",'1 Setup'!$C$13=""),"",IF(AND($C64="Continuous",N(INDEX('2 Phases'!$G$7:$G$12,B64))&gt;0),IF('1 Setup'!$G$13="","",MAX(0,('1 Setup'!$G$13+('1 Setup'!$H$13*'1 Setup'!$C$13*0.00000024*$H64)/N(INDEX('2 Phases'!$G$7:$G$12,B64)))+(((T63*($G63-$F63)+N('1 Setup'!$F$13)*$F63)/$G63)-('1 Setup'!$G$13+('1 Setup'!$H$13*'1 Setup'!$C$13*0.00000024*$H64)/N(INDEX('2 Phases'!$G$7:$G$12,B64))))*EXP(-N(INDEX('2 Phases'!$G$7:$G$12,B64))))),MAX(0,((T63*($G63-$F63)+N('1 Setup'!$F$13)*$F63)/$G63)+('1 Setup'!$H$13*'1 Setup'!$C$13*0.00000024*$H64))))</f>
        <v/>
      </c>
      <c r="U64" s="18" t="str">
        <f aca="false">IF(OR($B64="",U63="",'1 Setup'!$C$14=""),"",IF(AND($C64="Continuous",N(INDEX('2 Phases'!$G$7:$G$12,B64))&gt;0),IF('1 Setup'!$G$14="","",MAX(0,('1 Setup'!$G$14+('1 Setup'!$H$14*'1 Setup'!$C$14*0.00000024*$H64)/N(INDEX('2 Phases'!$G$7:$G$12,B64)))+(((U63*($G63-$F63)+N('1 Setup'!$F$14)*$F63)/$G63)-('1 Setup'!$G$14+('1 Setup'!$H$14*'1 Setup'!$C$14*0.00000024*$H64)/N(INDEX('2 Phases'!$G$7:$G$12,B64))))*EXP(-N(INDEX('2 Phases'!$G$7:$G$12,B64))))),MAX(0,((U63*($G63-$F63)+N('1 Setup'!$F$14)*$F63)/$G63)+('1 Setup'!$H$14*'1 Setup'!$C$14*0.00000024*$H64))))</f>
        <v/>
      </c>
      <c r="V64" s="18" t="str">
        <f aca="false">IF($B64="","",E64/1000000*'1 Setup'!$B$7)</f>
        <v/>
      </c>
      <c r="W64" s="18" t="str">
        <f aca="false">IF($B64="","",V64*G64)</f>
        <v/>
      </c>
      <c r="X64" s="18" t="str">
        <f aca="false">IF($B64="","",P64*'1 Setup'!$B$7/1000000000)</f>
        <v/>
      </c>
      <c r="Y64" s="18" t="str">
        <f aca="false">IF($B64="","",L64*'1 Setup'!$B$7/1000000000)</f>
        <v/>
      </c>
    </row>
    <row r="65" customFormat="false" ht="15" hidden="false" customHeight="false" outlineLevel="0" collapsed="false">
      <c r="A65" s="7" t="n">
        <v>59</v>
      </c>
      <c r="B65" s="7" t="str">
        <f aca="false">IF(A65&gt;'2 Phases'!$D$4,"",IF(A65=0,1,COUNTIF('2 Phases'!$M$7:$M$12,"&lt;"&amp;A65)+1))</f>
        <v/>
      </c>
      <c r="C65" s="7" t="str">
        <f aca="false">IF($B65="","",INDEX('2 Phases'!$C$7:$C$12,B65))</f>
        <v/>
      </c>
      <c r="D65" s="7" t="str">
        <f aca="false">IF($B65="","",A65-INDEX('2 Phases'!$L$7:$L$12,B65))</f>
        <v/>
      </c>
      <c r="E65" s="14" t="str">
        <f aca="false">IF($B65="","",IFERROR(IF(C65="Continuous",INDEX('2 Phases'!$N$7:$N$12,B65)*EXP((INDEX('2 Phases'!$P$7:$P$12,B65)-N(INDEX('2 Phases'!$H$7:$H$12,B65)))*D65),INDEX('2 Phases'!$N$7:$N$12,B65)*(IF(INDEX('2 Phases'!$E$7:$E$12,B65)="",INDEX('2 Phases'!$N$7:$N$12,B65),INDEX('2 Phases'!$E$7:$E$12,B65))/INDEX('2 Phases'!$N$7:$N$12,B65))^(D65/INDEX('2 Phases'!$D$7:$D$12,B65))),""))</f>
        <v/>
      </c>
      <c r="F65" s="15" t="n">
        <f aca="false">IF(OR($B65="",C65&lt;&gt;"Fed-batch",D65=0),0,IFERROR(N(INDEX('3 Feed regimes'!$B$6:$E$35,D65,MATCH(INDEX('2 Phases'!$F$7:$F$12,B65),'3 Feed regimes'!$B$4:$E$4,0)))*'1 Setup'!$B$5/100,0))</f>
        <v>0</v>
      </c>
      <c r="G65" s="15" t="str">
        <f aca="false">IF($B65="","",G64+F65)</f>
        <v/>
      </c>
      <c r="H65" s="14" t="str">
        <f aca="false">IF($B65="","",(E64+E65)/2)</f>
        <v/>
      </c>
      <c r="I65" s="15" t="str">
        <f aca="false">IF($B65="","",IF(C65="Continuous",N(INDEX('2 Phases'!$G$7:$G$12,B65))*G64,0))</f>
        <v/>
      </c>
      <c r="J65" s="15" t="str">
        <f aca="false">IF($B65="","",IF(C65="Continuous",N(INDEX('2 Phases'!$H$7:$H$12,B65))*G64,0))</f>
        <v/>
      </c>
      <c r="K65" s="15" t="str">
        <f aca="false">IF($B65="","",I65-J65)</f>
        <v/>
      </c>
      <c r="L65" s="14" t="str">
        <f aca="false">IF($B65="","",J65*1000*H65)</f>
        <v/>
      </c>
      <c r="M65" s="15" t="str">
        <f aca="false">IF($B65="","",M64+F65+I65)</f>
        <v/>
      </c>
      <c r="N65" s="15" t="str">
        <f aca="false">IF($B65="","",N64+K65)</f>
        <v/>
      </c>
      <c r="O65" s="15" t="str">
        <f aca="false">IF($B65="","",O64+J65)</f>
        <v/>
      </c>
      <c r="P65" s="14" t="str">
        <f aca="false">IF($B65="","",P64+L65)</f>
        <v/>
      </c>
      <c r="Q65" s="18" t="str">
        <f aca="false">IF(OR($B65="",Q64="",'1 Setup'!$C$10=""),"",IF(AND($C65="Continuous",N(INDEX('2 Phases'!$G$7:$G$12,B65))&gt;0),IF('1 Setup'!$G$10="","",MAX(0,('1 Setup'!$G$10+('1 Setup'!$H$10*'1 Setup'!$C$10*0.00000024*$H65)/N(INDEX('2 Phases'!$G$7:$G$12,B65)))+(((Q64*($G64-$F64)+N('1 Setup'!$F$10)*$F64)/$G64)-('1 Setup'!$G$10+('1 Setup'!$H$10*'1 Setup'!$C$10*0.00000024*$H65)/N(INDEX('2 Phases'!$G$7:$G$12,B65))))*EXP(-N(INDEX('2 Phases'!$G$7:$G$12,B65))))),MAX(0,((Q64*($G64-$F64)+N('1 Setup'!$F$10)*$F64)/$G64)+('1 Setup'!$H$10*'1 Setup'!$C$10*0.00000024*$H65))))</f>
        <v/>
      </c>
      <c r="R65" s="18" t="str">
        <f aca="false">IF(OR($B65="",R64="",'1 Setup'!$C$11=""),"",IF(AND($C65="Continuous",N(INDEX('2 Phases'!$G$7:$G$12,B65))&gt;0),IF('1 Setup'!$G$11="","",MAX(0,('1 Setup'!$G$11+('1 Setup'!$H$11*'1 Setup'!$C$11*0.00000024*$H65)/N(INDEX('2 Phases'!$G$7:$G$12,B65)))+(((R64*($G64-$F64)+N('1 Setup'!$F$11)*$F64)/$G64)-('1 Setup'!$G$11+('1 Setup'!$H$11*'1 Setup'!$C$11*0.00000024*$H65)/N(INDEX('2 Phases'!$G$7:$G$12,B65))))*EXP(-N(INDEX('2 Phases'!$G$7:$G$12,B65))))),MAX(0,((R64*($G64-$F64)+N('1 Setup'!$F$11)*$F64)/$G64)+('1 Setup'!$H$11*'1 Setup'!$C$11*0.00000024*$H65))))</f>
        <v/>
      </c>
      <c r="S65" s="18" t="str">
        <f aca="false">IF(OR($B65="",S64="",'1 Setup'!$C$12=""),"",IF(AND($C65="Continuous",N(INDEX('2 Phases'!$G$7:$G$12,B65))&gt;0),IF('1 Setup'!$G$12="","",MAX(0,('1 Setup'!$G$12+('1 Setup'!$H$12*'1 Setup'!$C$12*0.00000024*$H65)/N(INDEX('2 Phases'!$G$7:$G$12,B65)))+(((S64*($G64-$F64)+N('1 Setup'!$F$12)*$F64)/$G64)-('1 Setup'!$G$12+('1 Setup'!$H$12*'1 Setup'!$C$12*0.00000024*$H65)/N(INDEX('2 Phases'!$G$7:$G$12,B65))))*EXP(-N(INDEX('2 Phases'!$G$7:$G$12,B65))))),MAX(0,((S64*($G64-$F64)+N('1 Setup'!$F$12)*$F64)/$G64)+('1 Setup'!$H$12*'1 Setup'!$C$12*0.00000024*$H65))))</f>
        <v/>
      </c>
      <c r="T65" s="18" t="str">
        <f aca="false">IF(OR($B65="",T64="",'1 Setup'!$C$13=""),"",IF(AND($C65="Continuous",N(INDEX('2 Phases'!$G$7:$G$12,B65))&gt;0),IF('1 Setup'!$G$13="","",MAX(0,('1 Setup'!$G$13+('1 Setup'!$H$13*'1 Setup'!$C$13*0.00000024*$H65)/N(INDEX('2 Phases'!$G$7:$G$12,B65)))+(((T64*($G64-$F64)+N('1 Setup'!$F$13)*$F64)/$G64)-('1 Setup'!$G$13+('1 Setup'!$H$13*'1 Setup'!$C$13*0.00000024*$H65)/N(INDEX('2 Phases'!$G$7:$G$12,B65))))*EXP(-N(INDEX('2 Phases'!$G$7:$G$12,B65))))),MAX(0,((T64*($G64-$F64)+N('1 Setup'!$F$13)*$F64)/$G64)+('1 Setup'!$H$13*'1 Setup'!$C$13*0.00000024*$H65))))</f>
        <v/>
      </c>
      <c r="U65" s="18" t="str">
        <f aca="false">IF(OR($B65="",U64="",'1 Setup'!$C$14=""),"",IF(AND($C65="Continuous",N(INDEX('2 Phases'!$G$7:$G$12,B65))&gt;0),IF('1 Setup'!$G$14="","",MAX(0,('1 Setup'!$G$14+('1 Setup'!$H$14*'1 Setup'!$C$14*0.00000024*$H65)/N(INDEX('2 Phases'!$G$7:$G$12,B65)))+(((U64*($G64-$F64)+N('1 Setup'!$F$14)*$F64)/$G64)-('1 Setup'!$G$14+('1 Setup'!$H$14*'1 Setup'!$C$14*0.00000024*$H65)/N(INDEX('2 Phases'!$G$7:$G$12,B65))))*EXP(-N(INDEX('2 Phases'!$G$7:$G$12,B65))))),MAX(0,((U64*($G64-$F64)+N('1 Setup'!$F$14)*$F64)/$G64)+('1 Setup'!$H$14*'1 Setup'!$C$14*0.00000024*$H65))))</f>
        <v/>
      </c>
      <c r="V65" s="18" t="str">
        <f aca="false">IF($B65="","",E65/1000000*'1 Setup'!$B$7)</f>
        <v/>
      </c>
      <c r="W65" s="18" t="str">
        <f aca="false">IF($B65="","",V65*G65)</f>
        <v/>
      </c>
      <c r="X65" s="18" t="str">
        <f aca="false">IF($B65="","",P65*'1 Setup'!$B$7/1000000000)</f>
        <v/>
      </c>
      <c r="Y65" s="18" t="str">
        <f aca="false">IF($B65="","",L65*'1 Setup'!$B$7/1000000000)</f>
        <v/>
      </c>
    </row>
    <row r="66" customFormat="false" ht="15" hidden="false" customHeight="false" outlineLevel="0" collapsed="false">
      <c r="A66" s="7" t="n">
        <v>60</v>
      </c>
      <c r="B66" s="7" t="str">
        <f aca="false">IF(A66&gt;'2 Phases'!$D$4,"",IF(A66=0,1,COUNTIF('2 Phases'!$M$7:$M$12,"&lt;"&amp;A66)+1))</f>
        <v/>
      </c>
      <c r="C66" s="7" t="str">
        <f aca="false">IF($B66="","",INDEX('2 Phases'!$C$7:$C$12,B66))</f>
        <v/>
      </c>
      <c r="D66" s="7" t="str">
        <f aca="false">IF($B66="","",A66-INDEX('2 Phases'!$L$7:$L$12,B66))</f>
        <v/>
      </c>
      <c r="E66" s="14" t="str">
        <f aca="false">IF($B66="","",IFERROR(IF(C66="Continuous",INDEX('2 Phases'!$N$7:$N$12,B66)*EXP((INDEX('2 Phases'!$P$7:$P$12,B66)-N(INDEX('2 Phases'!$H$7:$H$12,B66)))*D66),INDEX('2 Phases'!$N$7:$N$12,B66)*(IF(INDEX('2 Phases'!$E$7:$E$12,B66)="",INDEX('2 Phases'!$N$7:$N$12,B66),INDEX('2 Phases'!$E$7:$E$12,B66))/INDEX('2 Phases'!$N$7:$N$12,B66))^(D66/INDEX('2 Phases'!$D$7:$D$12,B66))),""))</f>
        <v/>
      </c>
      <c r="F66" s="15" t="n">
        <f aca="false">IF(OR($B66="",C66&lt;&gt;"Fed-batch",D66=0),0,IFERROR(N(INDEX('3 Feed regimes'!$B$6:$E$35,D66,MATCH(INDEX('2 Phases'!$F$7:$F$12,B66),'3 Feed regimes'!$B$4:$E$4,0)))*'1 Setup'!$B$5/100,0))</f>
        <v>0</v>
      </c>
      <c r="G66" s="15" t="str">
        <f aca="false">IF($B66="","",G65+F66)</f>
        <v/>
      </c>
      <c r="H66" s="14" t="str">
        <f aca="false">IF($B66="","",(E65+E66)/2)</f>
        <v/>
      </c>
      <c r="I66" s="15" t="str">
        <f aca="false">IF($B66="","",IF(C66="Continuous",N(INDEX('2 Phases'!$G$7:$G$12,B66))*G65,0))</f>
        <v/>
      </c>
      <c r="J66" s="15" t="str">
        <f aca="false">IF($B66="","",IF(C66="Continuous",N(INDEX('2 Phases'!$H$7:$H$12,B66))*G65,0))</f>
        <v/>
      </c>
      <c r="K66" s="15" t="str">
        <f aca="false">IF($B66="","",I66-J66)</f>
        <v/>
      </c>
      <c r="L66" s="14" t="str">
        <f aca="false">IF($B66="","",J66*1000*H66)</f>
        <v/>
      </c>
      <c r="M66" s="15" t="str">
        <f aca="false">IF($B66="","",M65+F66+I66)</f>
        <v/>
      </c>
      <c r="N66" s="15" t="str">
        <f aca="false">IF($B66="","",N65+K66)</f>
        <v/>
      </c>
      <c r="O66" s="15" t="str">
        <f aca="false">IF($B66="","",O65+J66)</f>
        <v/>
      </c>
      <c r="P66" s="14" t="str">
        <f aca="false">IF($B66="","",P65+L66)</f>
        <v/>
      </c>
      <c r="Q66" s="18" t="str">
        <f aca="false">IF(OR($B66="",Q65="",'1 Setup'!$C$10=""),"",IF(AND($C66="Continuous",N(INDEX('2 Phases'!$G$7:$G$12,B66))&gt;0),IF('1 Setup'!$G$10="","",MAX(0,('1 Setup'!$G$10+('1 Setup'!$H$10*'1 Setup'!$C$10*0.00000024*$H66)/N(INDEX('2 Phases'!$G$7:$G$12,B66)))+(((Q65*($G65-$F65)+N('1 Setup'!$F$10)*$F65)/$G65)-('1 Setup'!$G$10+('1 Setup'!$H$10*'1 Setup'!$C$10*0.00000024*$H66)/N(INDEX('2 Phases'!$G$7:$G$12,B66))))*EXP(-N(INDEX('2 Phases'!$G$7:$G$12,B66))))),MAX(0,((Q65*($G65-$F65)+N('1 Setup'!$F$10)*$F65)/$G65)+('1 Setup'!$H$10*'1 Setup'!$C$10*0.00000024*$H66))))</f>
        <v/>
      </c>
      <c r="R66" s="18" t="str">
        <f aca="false">IF(OR($B66="",R65="",'1 Setup'!$C$11=""),"",IF(AND($C66="Continuous",N(INDEX('2 Phases'!$G$7:$G$12,B66))&gt;0),IF('1 Setup'!$G$11="","",MAX(0,('1 Setup'!$G$11+('1 Setup'!$H$11*'1 Setup'!$C$11*0.00000024*$H66)/N(INDEX('2 Phases'!$G$7:$G$12,B66)))+(((R65*($G65-$F65)+N('1 Setup'!$F$11)*$F65)/$G65)-('1 Setup'!$G$11+('1 Setup'!$H$11*'1 Setup'!$C$11*0.00000024*$H66)/N(INDEX('2 Phases'!$G$7:$G$12,B66))))*EXP(-N(INDEX('2 Phases'!$G$7:$G$12,B66))))),MAX(0,((R65*($G65-$F65)+N('1 Setup'!$F$11)*$F65)/$G65)+('1 Setup'!$H$11*'1 Setup'!$C$11*0.00000024*$H66))))</f>
        <v/>
      </c>
      <c r="S66" s="18" t="str">
        <f aca="false">IF(OR($B66="",S65="",'1 Setup'!$C$12=""),"",IF(AND($C66="Continuous",N(INDEX('2 Phases'!$G$7:$G$12,B66))&gt;0),IF('1 Setup'!$G$12="","",MAX(0,('1 Setup'!$G$12+('1 Setup'!$H$12*'1 Setup'!$C$12*0.00000024*$H66)/N(INDEX('2 Phases'!$G$7:$G$12,B66)))+(((S65*($G65-$F65)+N('1 Setup'!$F$12)*$F65)/$G65)-('1 Setup'!$G$12+('1 Setup'!$H$12*'1 Setup'!$C$12*0.00000024*$H66)/N(INDEX('2 Phases'!$G$7:$G$12,B66))))*EXP(-N(INDEX('2 Phases'!$G$7:$G$12,B66))))),MAX(0,((S65*($G65-$F65)+N('1 Setup'!$F$12)*$F65)/$G65)+('1 Setup'!$H$12*'1 Setup'!$C$12*0.00000024*$H66))))</f>
        <v/>
      </c>
      <c r="T66" s="18" t="str">
        <f aca="false">IF(OR($B66="",T65="",'1 Setup'!$C$13=""),"",IF(AND($C66="Continuous",N(INDEX('2 Phases'!$G$7:$G$12,B66))&gt;0),IF('1 Setup'!$G$13="","",MAX(0,('1 Setup'!$G$13+('1 Setup'!$H$13*'1 Setup'!$C$13*0.00000024*$H66)/N(INDEX('2 Phases'!$G$7:$G$12,B66)))+(((T65*($G65-$F65)+N('1 Setup'!$F$13)*$F65)/$G65)-('1 Setup'!$G$13+('1 Setup'!$H$13*'1 Setup'!$C$13*0.00000024*$H66)/N(INDEX('2 Phases'!$G$7:$G$12,B66))))*EXP(-N(INDEX('2 Phases'!$G$7:$G$12,B66))))),MAX(0,((T65*($G65-$F65)+N('1 Setup'!$F$13)*$F65)/$G65)+('1 Setup'!$H$13*'1 Setup'!$C$13*0.00000024*$H66))))</f>
        <v/>
      </c>
      <c r="U66" s="18" t="str">
        <f aca="false">IF(OR($B66="",U65="",'1 Setup'!$C$14=""),"",IF(AND($C66="Continuous",N(INDEX('2 Phases'!$G$7:$G$12,B66))&gt;0),IF('1 Setup'!$G$14="","",MAX(0,('1 Setup'!$G$14+('1 Setup'!$H$14*'1 Setup'!$C$14*0.00000024*$H66)/N(INDEX('2 Phases'!$G$7:$G$12,B66)))+(((U65*($G65-$F65)+N('1 Setup'!$F$14)*$F65)/$G65)-('1 Setup'!$G$14+('1 Setup'!$H$14*'1 Setup'!$C$14*0.00000024*$H66)/N(INDEX('2 Phases'!$G$7:$G$12,B66))))*EXP(-N(INDEX('2 Phases'!$G$7:$G$12,B66))))),MAX(0,((U65*($G65-$F65)+N('1 Setup'!$F$14)*$F65)/$G65)+('1 Setup'!$H$14*'1 Setup'!$C$14*0.00000024*$H66))))</f>
        <v/>
      </c>
      <c r="V66" s="18" t="str">
        <f aca="false">IF($B66="","",E66/1000000*'1 Setup'!$B$7)</f>
        <v/>
      </c>
      <c r="W66" s="18" t="str">
        <f aca="false">IF($B66="","",V66*G66)</f>
        <v/>
      </c>
      <c r="X66" s="18" t="str">
        <f aca="false">IF($B66="","",P66*'1 Setup'!$B$7/1000000000)</f>
        <v/>
      </c>
      <c r="Y66" s="18" t="str">
        <f aca="false">IF($B66="","",L66*'1 Setup'!$B$7/1000000000)</f>
        <v/>
      </c>
    </row>
    <row r="67" customFormat="false" ht="15" hidden="false" customHeight="false" outlineLevel="0" collapsed="false">
      <c r="A67" s="7" t="n">
        <v>61</v>
      </c>
      <c r="B67" s="7" t="str">
        <f aca="false">IF(A67&gt;'2 Phases'!$D$4,"",IF(A67=0,1,COUNTIF('2 Phases'!$M$7:$M$12,"&lt;"&amp;A67)+1))</f>
        <v/>
      </c>
      <c r="C67" s="7" t="str">
        <f aca="false">IF($B67="","",INDEX('2 Phases'!$C$7:$C$12,B67))</f>
        <v/>
      </c>
      <c r="D67" s="7" t="str">
        <f aca="false">IF($B67="","",A67-INDEX('2 Phases'!$L$7:$L$12,B67))</f>
        <v/>
      </c>
      <c r="E67" s="14" t="str">
        <f aca="false">IF($B67="","",IFERROR(IF(C67="Continuous",INDEX('2 Phases'!$N$7:$N$12,B67)*EXP((INDEX('2 Phases'!$P$7:$P$12,B67)-N(INDEX('2 Phases'!$H$7:$H$12,B67)))*D67),INDEX('2 Phases'!$N$7:$N$12,B67)*(IF(INDEX('2 Phases'!$E$7:$E$12,B67)="",INDEX('2 Phases'!$N$7:$N$12,B67),INDEX('2 Phases'!$E$7:$E$12,B67))/INDEX('2 Phases'!$N$7:$N$12,B67))^(D67/INDEX('2 Phases'!$D$7:$D$12,B67))),""))</f>
        <v/>
      </c>
      <c r="F67" s="15" t="n">
        <f aca="false">IF(OR($B67="",C67&lt;&gt;"Fed-batch",D67=0),0,IFERROR(N(INDEX('3 Feed regimes'!$B$6:$E$35,D67,MATCH(INDEX('2 Phases'!$F$7:$F$12,B67),'3 Feed regimes'!$B$4:$E$4,0)))*'1 Setup'!$B$5/100,0))</f>
        <v>0</v>
      </c>
      <c r="G67" s="15" t="str">
        <f aca="false">IF($B67="","",G66+F67)</f>
        <v/>
      </c>
      <c r="H67" s="14" t="str">
        <f aca="false">IF($B67="","",(E66+E67)/2)</f>
        <v/>
      </c>
      <c r="I67" s="15" t="str">
        <f aca="false">IF($B67="","",IF(C67="Continuous",N(INDEX('2 Phases'!$G$7:$G$12,B67))*G66,0))</f>
        <v/>
      </c>
      <c r="J67" s="15" t="str">
        <f aca="false">IF($B67="","",IF(C67="Continuous",N(INDEX('2 Phases'!$H$7:$H$12,B67))*G66,0))</f>
        <v/>
      </c>
      <c r="K67" s="15" t="str">
        <f aca="false">IF($B67="","",I67-J67)</f>
        <v/>
      </c>
      <c r="L67" s="14" t="str">
        <f aca="false">IF($B67="","",J67*1000*H67)</f>
        <v/>
      </c>
      <c r="M67" s="15" t="str">
        <f aca="false">IF($B67="","",M66+F67+I67)</f>
        <v/>
      </c>
      <c r="N67" s="15" t="str">
        <f aca="false">IF($B67="","",N66+K67)</f>
        <v/>
      </c>
      <c r="O67" s="15" t="str">
        <f aca="false">IF($B67="","",O66+J67)</f>
        <v/>
      </c>
      <c r="P67" s="14" t="str">
        <f aca="false">IF($B67="","",P66+L67)</f>
        <v/>
      </c>
      <c r="Q67" s="18" t="str">
        <f aca="false">IF(OR($B67="",Q66="",'1 Setup'!$C$10=""),"",IF(AND($C67="Continuous",N(INDEX('2 Phases'!$G$7:$G$12,B67))&gt;0),IF('1 Setup'!$G$10="","",MAX(0,('1 Setup'!$G$10+('1 Setup'!$H$10*'1 Setup'!$C$10*0.00000024*$H67)/N(INDEX('2 Phases'!$G$7:$G$12,B67)))+(((Q66*($G66-$F66)+N('1 Setup'!$F$10)*$F66)/$G66)-('1 Setup'!$G$10+('1 Setup'!$H$10*'1 Setup'!$C$10*0.00000024*$H67)/N(INDEX('2 Phases'!$G$7:$G$12,B67))))*EXP(-N(INDEX('2 Phases'!$G$7:$G$12,B67))))),MAX(0,((Q66*($G66-$F66)+N('1 Setup'!$F$10)*$F66)/$G66)+('1 Setup'!$H$10*'1 Setup'!$C$10*0.00000024*$H67))))</f>
        <v/>
      </c>
      <c r="R67" s="18" t="str">
        <f aca="false">IF(OR($B67="",R66="",'1 Setup'!$C$11=""),"",IF(AND($C67="Continuous",N(INDEX('2 Phases'!$G$7:$G$12,B67))&gt;0),IF('1 Setup'!$G$11="","",MAX(0,('1 Setup'!$G$11+('1 Setup'!$H$11*'1 Setup'!$C$11*0.00000024*$H67)/N(INDEX('2 Phases'!$G$7:$G$12,B67)))+(((R66*($G66-$F66)+N('1 Setup'!$F$11)*$F66)/$G66)-('1 Setup'!$G$11+('1 Setup'!$H$11*'1 Setup'!$C$11*0.00000024*$H67)/N(INDEX('2 Phases'!$G$7:$G$12,B67))))*EXP(-N(INDEX('2 Phases'!$G$7:$G$12,B67))))),MAX(0,((R66*($G66-$F66)+N('1 Setup'!$F$11)*$F66)/$G66)+('1 Setup'!$H$11*'1 Setup'!$C$11*0.00000024*$H67))))</f>
        <v/>
      </c>
      <c r="S67" s="18" t="str">
        <f aca="false">IF(OR($B67="",S66="",'1 Setup'!$C$12=""),"",IF(AND($C67="Continuous",N(INDEX('2 Phases'!$G$7:$G$12,B67))&gt;0),IF('1 Setup'!$G$12="","",MAX(0,('1 Setup'!$G$12+('1 Setup'!$H$12*'1 Setup'!$C$12*0.00000024*$H67)/N(INDEX('2 Phases'!$G$7:$G$12,B67)))+(((S66*($G66-$F66)+N('1 Setup'!$F$12)*$F66)/$G66)-('1 Setup'!$G$12+('1 Setup'!$H$12*'1 Setup'!$C$12*0.00000024*$H67)/N(INDEX('2 Phases'!$G$7:$G$12,B67))))*EXP(-N(INDEX('2 Phases'!$G$7:$G$12,B67))))),MAX(0,((S66*($G66-$F66)+N('1 Setup'!$F$12)*$F66)/$G66)+('1 Setup'!$H$12*'1 Setup'!$C$12*0.00000024*$H67))))</f>
        <v/>
      </c>
      <c r="T67" s="18" t="str">
        <f aca="false">IF(OR($B67="",T66="",'1 Setup'!$C$13=""),"",IF(AND($C67="Continuous",N(INDEX('2 Phases'!$G$7:$G$12,B67))&gt;0),IF('1 Setup'!$G$13="","",MAX(0,('1 Setup'!$G$13+('1 Setup'!$H$13*'1 Setup'!$C$13*0.00000024*$H67)/N(INDEX('2 Phases'!$G$7:$G$12,B67)))+(((T66*($G66-$F66)+N('1 Setup'!$F$13)*$F66)/$G66)-('1 Setup'!$G$13+('1 Setup'!$H$13*'1 Setup'!$C$13*0.00000024*$H67)/N(INDEX('2 Phases'!$G$7:$G$12,B67))))*EXP(-N(INDEX('2 Phases'!$G$7:$G$12,B67))))),MAX(0,((T66*($G66-$F66)+N('1 Setup'!$F$13)*$F66)/$G66)+('1 Setup'!$H$13*'1 Setup'!$C$13*0.00000024*$H67))))</f>
        <v/>
      </c>
      <c r="U67" s="18" t="str">
        <f aca="false">IF(OR($B67="",U66="",'1 Setup'!$C$14=""),"",IF(AND($C67="Continuous",N(INDEX('2 Phases'!$G$7:$G$12,B67))&gt;0),IF('1 Setup'!$G$14="","",MAX(0,('1 Setup'!$G$14+('1 Setup'!$H$14*'1 Setup'!$C$14*0.00000024*$H67)/N(INDEX('2 Phases'!$G$7:$G$12,B67)))+(((U66*($G66-$F66)+N('1 Setup'!$F$14)*$F66)/$G66)-('1 Setup'!$G$14+('1 Setup'!$H$14*'1 Setup'!$C$14*0.00000024*$H67)/N(INDEX('2 Phases'!$G$7:$G$12,B67))))*EXP(-N(INDEX('2 Phases'!$G$7:$G$12,B67))))),MAX(0,((U66*($G66-$F66)+N('1 Setup'!$F$14)*$F66)/$G66)+('1 Setup'!$H$14*'1 Setup'!$C$14*0.00000024*$H67))))</f>
        <v/>
      </c>
      <c r="V67" s="18" t="str">
        <f aca="false">IF($B67="","",E67/1000000*'1 Setup'!$B$7)</f>
        <v/>
      </c>
      <c r="W67" s="18" t="str">
        <f aca="false">IF($B67="","",V67*G67)</f>
        <v/>
      </c>
      <c r="X67" s="18" t="str">
        <f aca="false">IF($B67="","",P67*'1 Setup'!$B$7/1000000000)</f>
        <v/>
      </c>
      <c r="Y67" s="18" t="str">
        <f aca="false">IF($B67="","",L67*'1 Setup'!$B$7/1000000000)</f>
        <v/>
      </c>
    </row>
    <row r="68" customFormat="false" ht="15" hidden="false" customHeight="false" outlineLevel="0" collapsed="false">
      <c r="A68" s="7" t="n">
        <v>62</v>
      </c>
      <c r="B68" s="7" t="str">
        <f aca="false">IF(A68&gt;'2 Phases'!$D$4,"",IF(A68=0,1,COUNTIF('2 Phases'!$M$7:$M$12,"&lt;"&amp;A68)+1))</f>
        <v/>
      </c>
      <c r="C68" s="7" t="str">
        <f aca="false">IF($B68="","",INDEX('2 Phases'!$C$7:$C$12,B68))</f>
        <v/>
      </c>
      <c r="D68" s="7" t="str">
        <f aca="false">IF($B68="","",A68-INDEX('2 Phases'!$L$7:$L$12,B68))</f>
        <v/>
      </c>
      <c r="E68" s="14" t="str">
        <f aca="false">IF($B68="","",IFERROR(IF(C68="Continuous",INDEX('2 Phases'!$N$7:$N$12,B68)*EXP((INDEX('2 Phases'!$P$7:$P$12,B68)-N(INDEX('2 Phases'!$H$7:$H$12,B68)))*D68),INDEX('2 Phases'!$N$7:$N$12,B68)*(IF(INDEX('2 Phases'!$E$7:$E$12,B68)="",INDEX('2 Phases'!$N$7:$N$12,B68),INDEX('2 Phases'!$E$7:$E$12,B68))/INDEX('2 Phases'!$N$7:$N$12,B68))^(D68/INDEX('2 Phases'!$D$7:$D$12,B68))),""))</f>
        <v/>
      </c>
      <c r="F68" s="15" t="n">
        <f aca="false">IF(OR($B68="",C68&lt;&gt;"Fed-batch",D68=0),0,IFERROR(N(INDEX('3 Feed regimes'!$B$6:$E$35,D68,MATCH(INDEX('2 Phases'!$F$7:$F$12,B68),'3 Feed regimes'!$B$4:$E$4,0)))*'1 Setup'!$B$5/100,0))</f>
        <v>0</v>
      </c>
      <c r="G68" s="15" t="str">
        <f aca="false">IF($B68="","",G67+F68)</f>
        <v/>
      </c>
      <c r="H68" s="14" t="str">
        <f aca="false">IF($B68="","",(E67+E68)/2)</f>
        <v/>
      </c>
      <c r="I68" s="15" t="str">
        <f aca="false">IF($B68="","",IF(C68="Continuous",N(INDEX('2 Phases'!$G$7:$G$12,B68))*G67,0))</f>
        <v/>
      </c>
      <c r="J68" s="15" t="str">
        <f aca="false">IF($B68="","",IF(C68="Continuous",N(INDEX('2 Phases'!$H$7:$H$12,B68))*G67,0))</f>
        <v/>
      </c>
      <c r="K68" s="15" t="str">
        <f aca="false">IF($B68="","",I68-J68)</f>
        <v/>
      </c>
      <c r="L68" s="14" t="str">
        <f aca="false">IF($B68="","",J68*1000*H68)</f>
        <v/>
      </c>
      <c r="M68" s="15" t="str">
        <f aca="false">IF($B68="","",M67+F68+I68)</f>
        <v/>
      </c>
      <c r="N68" s="15" t="str">
        <f aca="false">IF($B68="","",N67+K68)</f>
        <v/>
      </c>
      <c r="O68" s="15" t="str">
        <f aca="false">IF($B68="","",O67+J68)</f>
        <v/>
      </c>
      <c r="P68" s="14" t="str">
        <f aca="false">IF($B68="","",P67+L68)</f>
        <v/>
      </c>
      <c r="Q68" s="18" t="str">
        <f aca="false">IF(OR($B68="",Q67="",'1 Setup'!$C$10=""),"",IF(AND($C68="Continuous",N(INDEX('2 Phases'!$G$7:$G$12,B68))&gt;0),IF('1 Setup'!$G$10="","",MAX(0,('1 Setup'!$G$10+('1 Setup'!$H$10*'1 Setup'!$C$10*0.00000024*$H68)/N(INDEX('2 Phases'!$G$7:$G$12,B68)))+(((Q67*($G67-$F67)+N('1 Setup'!$F$10)*$F67)/$G67)-('1 Setup'!$G$10+('1 Setup'!$H$10*'1 Setup'!$C$10*0.00000024*$H68)/N(INDEX('2 Phases'!$G$7:$G$12,B68))))*EXP(-N(INDEX('2 Phases'!$G$7:$G$12,B68))))),MAX(0,((Q67*($G67-$F67)+N('1 Setup'!$F$10)*$F67)/$G67)+('1 Setup'!$H$10*'1 Setup'!$C$10*0.00000024*$H68))))</f>
        <v/>
      </c>
      <c r="R68" s="18" t="str">
        <f aca="false">IF(OR($B68="",R67="",'1 Setup'!$C$11=""),"",IF(AND($C68="Continuous",N(INDEX('2 Phases'!$G$7:$G$12,B68))&gt;0),IF('1 Setup'!$G$11="","",MAX(0,('1 Setup'!$G$11+('1 Setup'!$H$11*'1 Setup'!$C$11*0.00000024*$H68)/N(INDEX('2 Phases'!$G$7:$G$12,B68)))+(((R67*($G67-$F67)+N('1 Setup'!$F$11)*$F67)/$G67)-('1 Setup'!$G$11+('1 Setup'!$H$11*'1 Setup'!$C$11*0.00000024*$H68)/N(INDEX('2 Phases'!$G$7:$G$12,B68))))*EXP(-N(INDEX('2 Phases'!$G$7:$G$12,B68))))),MAX(0,((R67*($G67-$F67)+N('1 Setup'!$F$11)*$F67)/$G67)+('1 Setup'!$H$11*'1 Setup'!$C$11*0.00000024*$H68))))</f>
        <v/>
      </c>
      <c r="S68" s="18" t="str">
        <f aca="false">IF(OR($B68="",S67="",'1 Setup'!$C$12=""),"",IF(AND($C68="Continuous",N(INDEX('2 Phases'!$G$7:$G$12,B68))&gt;0),IF('1 Setup'!$G$12="","",MAX(0,('1 Setup'!$G$12+('1 Setup'!$H$12*'1 Setup'!$C$12*0.00000024*$H68)/N(INDEX('2 Phases'!$G$7:$G$12,B68)))+(((S67*($G67-$F67)+N('1 Setup'!$F$12)*$F67)/$G67)-('1 Setup'!$G$12+('1 Setup'!$H$12*'1 Setup'!$C$12*0.00000024*$H68)/N(INDEX('2 Phases'!$G$7:$G$12,B68))))*EXP(-N(INDEX('2 Phases'!$G$7:$G$12,B68))))),MAX(0,((S67*($G67-$F67)+N('1 Setup'!$F$12)*$F67)/$G67)+('1 Setup'!$H$12*'1 Setup'!$C$12*0.00000024*$H68))))</f>
        <v/>
      </c>
      <c r="T68" s="18" t="str">
        <f aca="false">IF(OR($B68="",T67="",'1 Setup'!$C$13=""),"",IF(AND($C68="Continuous",N(INDEX('2 Phases'!$G$7:$G$12,B68))&gt;0),IF('1 Setup'!$G$13="","",MAX(0,('1 Setup'!$G$13+('1 Setup'!$H$13*'1 Setup'!$C$13*0.00000024*$H68)/N(INDEX('2 Phases'!$G$7:$G$12,B68)))+(((T67*($G67-$F67)+N('1 Setup'!$F$13)*$F67)/$G67)-('1 Setup'!$G$13+('1 Setup'!$H$13*'1 Setup'!$C$13*0.00000024*$H68)/N(INDEX('2 Phases'!$G$7:$G$12,B68))))*EXP(-N(INDEX('2 Phases'!$G$7:$G$12,B68))))),MAX(0,((T67*($G67-$F67)+N('1 Setup'!$F$13)*$F67)/$G67)+('1 Setup'!$H$13*'1 Setup'!$C$13*0.00000024*$H68))))</f>
        <v/>
      </c>
      <c r="U68" s="18" t="str">
        <f aca="false">IF(OR($B68="",U67="",'1 Setup'!$C$14=""),"",IF(AND($C68="Continuous",N(INDEX('2 Phases'!$G$7:$G$12,B68))&gt;0),IF('1 Setup'!$G$14="","",MAX(0,('1 Setup'!$G$14+('1 Setup'!$H$14*'1 Setup'!$C$14*0.00000024*$H68)/N(INDEX('2 Phases'!$G$7:$G$12,B68)))+(((U67*($G67-$F67)+N('1 Setup'!$F$14)*$F67)/$G67)-('1 Setup'!$G$14+('1 Setup'!$H$14*'1 Setup'!$C$14*0.00000024*$H68)/N(INDEX('2 Phases'!$G$7:$G$12,B68))))*EXP(-N(INDEX('2 Phases'!$G$7:$G$12,B68))))),MAX(0,((U67*($G67-$F67)+N('1 Setup'!$F$14)*$F67)/$G67)+('1 Setup'!$H$14*'1 Setup'!$C$14*0.00000024*$H68))))</f>
        <v/>
      </c>
      <c r="V68" s="18" t="str">
        <f aca="false">IF($B68="","",E68/1000000*'1 Setup'!$B$7)</f>
        <v/>
      </c>
      <c r="W68" s="18" t="str">
        <f aca="false">IF($B68="","",V68*G68)</f>
        <v/>
      </c>
      <c r="X68" s="18" t="str">
        <f aca="false">IF($B68="","",P68*'1 Setup'!$B$7/1000000000)</f>
        <v/>
      </c>
      <c r="Y68" s="18" t="str">
        <f aca="false">IF($B68="","",L68*'1 Setup'!$B$7/1000000000)</f>
        <v/>
      </c>
    </row>
    <row r="69" customFormat="false" ht="15" hidden="false" customHeight="false" outlineLevel="0" collapsed="false">
      <c r="A69" s="7" t="n">
        <v>63</v>
      </c>
      <c r="B69" s="7" t="str">
        <f aca="false">IF(A69&gt;'2 Phases'!$D$4,"",IF(A69=0,1,COUNTIF('2 Phases'!$M$7:$M$12,"&lt;"&amp;A69)+1))</f>
        <v/>
      </c>
      <c r="C69" s="7" t="str">
        <f aca="false">IF($B69="","",INDEX('2 Phases'!$C$7:$C$12,B69))</f>
        <v/>
      </c>
      <c r="D69" s="7" t="str">
        <f aca="false">IF($B69="","",A69-INDEX('2 Phases'!$L$7:$L$12,B69))</f>
        <v/>
      </c>
      <c r="E69" s="14" t="str">
        <f aca="false">IF($B69="","",IFERROR(IF(C69="Continuous",INDEX('2 Phases'!$N$7:$N$12,B69)*EXP((INDEX('2 Phases'!$P$7:$P$12,B69)-N(INDEX('2 Phases'!$H$7:$H$12,B69)))*D69),INDEX('2 Phases'!$N$7:$N$12,B69)*(IF(INDEX('2 Phases'!$E$7:$E$12,B69)="",INDEX('2 Phases'!$N$7:$N$12,B69),INDEX('2 Phases'!$E$7:$E$12,B69))/INDEX('2 Phases'!$N$7:$N$12,B69))^(D69/INDEX('2 Phases'!$D$7:$D$12,B69))),""))</f>
        <v/>
      </c>
      <c r="F69" s="15" t="n">
        <f aca="false">IF(OR($B69="",C69&lt;&gt;"Fed-batch",D69=0),0,IFERROR(N(INDEX('3 Feed regimes'!$B$6:$E$35,D69,MATCH(INDEX('2 Phases'!$F$7:$F$12,B69),'3 Feed regimes'!$B$4:$E$4,0)))*'1 Setup'!$B$5/100,0))</f>
        <v>0</v>
      </c>
      <c r="G69" s="15" t="str">
        <f aca="false">IF($B69="","",G68+F69)</f>
        <v/>
      </c>
      <c r="H69" s="14" t="str">
        <f aca="false">IF($B69="","",(E68+E69)/2)</f>
        <v/>
      </c>
      <c r="I69" s="15" t="str">
        <f aca="false">IF($B69="","",IF(C69="Continuous",N(INDEX('2 Phases'!$G$7:$G$12,B69))*G68,0))</f>
        <v/>
      </c>
      <c r="J69" s="15" t="str">
        <f aca="false">IF($B69="","",IF(C69="Continuous",N(INDEX('2 Phases'!$H$7:$H$12,B69))*G68,0))</f>
        <v/>
      </c>
      <c r="K69" s="15" t="str">
        <f aca="false">IF($B69="","",I69-J69)</f>
        <v/>
      </c>
      <c r="L69" s="14" t="str">
        <f aca="false">IF($B69="","",J69*1000*H69)</f>
        <v/>
      </c>
      <c r="M69" s="15" t="str">
        <f aca="false">IF($B69="","",M68+F69+I69)</f>
        <v/>
      </c>
      <c r="N69" s="15" t="str">
        <f aca="false">IF($B69="","",N68+K69)</f>
        <v/>
      </c>
      <c r="O69" s="15" t="str">
        <f aca="false">IF($B69="","",O68+J69)</f>
        <v/>
      </c>
      <c r="P69" s="14" t="str">
        <f aca="false">IF($B69="","",P68+L69)</f>
        <v/>
      </c>
      <c r="Q69" s="18" t="str">
        <f aca="false">IF(OR($B69="",Q68="",'1 Setup'!$C$10=""),"",IF(AND($C69="Continuous",N(INDEX('2 Phases'!$G$7:$G$12,B69))&gt;0),IF('1 Setup'!$G$10="","",MAX(0,('1 Setup'!$G$10+('1 Setup'!$H$10*'1 Setup'!$C$10*0.00000024*$H69)/N(INDEX('2 Phases'!$G$7:$G$12,B69)))+(((Q68*($G68-$F68)+N('1 Setup'!$F$10)*$F68)/$G68)-('1 Setup'!$G$10+('1 Setup'!$H$10*'1 Setup'!$C$10*0.00000024*$H69)/N(INDEX('2 Phases'!$G$7:$G$12,B69))))*EXP(-N(INDEX('2 Phases'!$G$7:$G$12,B69))))),MAX(0,((Q68*($G68-$F68)+N('1 Setup'!$F$10)*$F68)/$G68)+('1 Setup'!$H$10*'1 Setup'!$C$10*0.00000024*$H69))))</f>
        <v/>
      </c>
      <c r="R69" s="18" t="str">
        <f aca="false">IF(OR($B69="",R68="",'1 Setup'!$C$11=""),"",IF(AND($C69="Continuous",N(INDEX('2 Phases'!$G$7:$G$12,B69))&gt;0),IF('1 Setup'!$G$11="","",MAX(0,('1 Setup'!$G$11+('1 Setup'!$H$11*'1 Setup'!$C$11*0.00000024*$H69)/N(INDEX('2 Phases'!$G$7:$G$12,B69)))+(((R68*($G68-$F68)+N('1 Setup'!$F$11)*$F68)/$G68)-('1 Setup'!$G$11+('1 Setup'!$H$11*'1 Setup'!$C$11*0.00000024*$H69)/N(INDEX('2 Phases'!$G$7:$G$12,B69))))*EXP(-N(INDEX('2 Phases'!$G$7:$G$12,B69))))),MAX(0,((R68*($G68-$F68)+N('1 Setup'!$F$11)*$F68)/$G68)+('1 Setup'!$H$11*'1 Setup'!$C$11*0.00000024*$H69))))</f>
        <v/>
      </c>
      <c r="S69" s="18" t="str">
        <f aca="false">IF(OR($B69="",S68="",'1 Setup'!$C$12=""),"",IF(AND($C69="Continuous",N(INDEX('2 Phases'!$G$7:$G$12,B69))&gt;0),IF('1 Setup'!$G$12="","",MAX(0,('1 Setup'!$G$12+('1 Setup'!$H$12*'1 Setup'!$C$12*0.00000024*$H69)/N(INDEX('2 Phases'!$G$7:$G$12,B69)))+(((S68*($G68-$F68)+N('1 Setup'!$F$12)*$F68)/$G68)-('1 Setup'!$G$12+('1 Setup'!$H$12*'1 Setup'!$C$12*0.00000024*$H69)/N(INDEX('2 Phases'!$G$7:$G$12,B69))))*EXP(-N(INDEX('2 Phases'!$G$7:$G$12,B69))))),MAX(0,((S68*($G68-$F68)+N('1 Setup'!$F$12)*$F68)/$G68)+('1 Setup'!$H$12*'1 Setup'!$C$12*0.00000024*$H69))))</f>
        <v/>
      </c>
      <c r="T69" s="18" t="str">
        <f aca="false">IF(OR($B69="",T68="",'1 Setup'!$C$13=""),"",IF(AND($C69="Continuous",N(INDEX('2 Phases'!$G$7:$G$12,B69))&gt;0),IF('1 Setup'!$G$13="","",MAX(0,('1 Setup'!$G$13+('1 Setup'!$H$13*'1 Setup'!$C$13*0.00000024*$H69)/N(INDEX('2 Phases'!$G$7:$G$12,B69)))+(((T68*($G68-$F68)+N('1 Setup'!$F$13)*$F68)/$G68)-('1 Setup'!$G$13+('1 Setup'!$H$13*'1 Setup'!$C$13*0.00000024*$H69)/N(INDEX('2 Phases'!$G$7:$G$12,B69))))*EXP(-N(INDEX('2 Phases'!$G$7:$G$12,B69))))),MAX(0,((T68*($G68-$F68)+N('1 Setup'!$F$13)*$F68)/$G68)+('1 Setup'!$H$13*'1 Setup'!$C$13*0.00000024*$H69))))</f>
        <v/>
      </c>
      <c r="U69" s="18" t="str">
        <f aca="false">IF(OR($B69="",U68="",'1 Setup'!$C$14=""),"",IF(AND($C69="Continuous",N(INDEX('2 Phases'!$G$7:$G$12,B69))&gt;0),IF('1 Setup'!$G$14="","",MAX(0,('1 Setup'!$G$14+('1 Setup'!$H$14*'1 Setup'!$C$14*0.00000024*$H69)/N(INDEX('2 Phases'!$G$7:$G$12,B69)))+(((U68*($G68-$F68)+N('1 Setup'!$F$14)*$F68)/$G68)-('1 Setup'!$G$14+('1 Setup'!$H$14*'1 Setup'!$C$14*0.00000024*$H69)/N(INDEX('2 Phases'!$G$7:$G$12,B69))))*EXP(-N(INDEX('2 Phases'!$G$7:$G$12,B69))))),MAX(0,((U68*($G68-$F68)+N('1 Setup'!$F$14)*$F68)/$G68)+('1 Setup'!$H$14*'1 Setup'!$C$14*0.00000024*$H69))))</f>
        <v/>
      </c>
      <c r="V69" s="18" t="str">
        <f aca="false">IF($B69="","",E69/1000000*'1 Setup'!$B$7)</f>
        <v/>
      </c>
      <c r="W69" s="18" t="str">
        <f aca="false">IF($B69="","",V69*G69)</f>
        <v/>
      </c>
      <c r="X69" s="18" t="str">
        <f aca="false">IF($B69="","",P69*'1 Setup'!$B$7/1000000000)</f>
        <v/>
      </c>
      <c r="Y69" s="18" t="str">
        <f aca="false">IF($B69="","",L69*'1 Setup'!$B$7/1000000000)</f>
        <v/>
      </c>
    </row>
    <row r="70" customFormat="false" ht="15" hidden="false" customHeight="false" outlineLevel="0" collapsed="false">
      <c r="A70" s="7" t="n">
        <v>64</v>
      </c>
      <c r="B70" s="7" t="str">
        <f aca="false">IF(A70&gt;'2 Phases'!$D$4,"",IF(A70=0,1,COUNTIF('2 Phases'!$M$7:$M$12,"&lt;"&amp;A70)+1))</f>
        <v/>
      </c>
      <c r="C70" s="7" t="str">
        <f aca="false">IF($B70="","",INDEX('2 Phases'!$C$7:$C$12,B70))</f>
        <v/>
      </c>
      <c r="D70" s="7" t="str">
        <f aca="false">IF($B70="","",A70-INDEX('2 Phases'!$L$7:$L$12,B70))</f>
        <v/>
      </c>
      <c r="E70" s="14" t="str">
        <f aca="false">IF($B70="","",IFERROR(IF(C70="Continuous",INDEX('2 Phases'!$N$7:$N$12,B70)*EXP((INDEX('2 Phases'!$P$7:$P$12,B70)-N(INDEX('2 Phases'!$H$7:$H$12,B70)))*D70),INDEX('2 Phases'!$N$7:$N$12,B70)*(IF(INDEX('2 Phases'!$E$7:$E$12,B70)="",INDEX('2 Phases'!$N$7:$N$12,B70),INDEX('2 Phases'!$E$7:$E$12,B70))/INDEX('2 Phases'!$N$7:$N$12,B70))^(D70/INDEX('2 Phases'!$D$7:$D$12,B70))),""))</f>
        <v/>
      </c>
      <c r="F70" s="15" t="n">
        <f aca="false">IF(OR($B70="",C70&lt;&gt;"Fed-batch",D70=0),0,IFERROR(N(INDEX('3 Feed regimes'!$B$6:$E$35,D70,MATCH(INDEX('2 Phases'!$F$7:$F$12,B70),'3 Feed regimes'!$B$4:$E$4,0)))*'1 Setup'!$B$5/100,0))</f>
        <v>0</v>
      </c>
      <c r="G70" s="15" t="str">
        <f aca="false">IF($B70="","",G69+F70)</f>
        <v/>
      </c>
      <c r="H70" s="14" t="str">
        <f aca="false">IF($B70="","",(E69+E70)/2)</f>
        <v/>
      </c>
      <c r="I70" s="15" t="str">
        <f aca="false">IF($B70="","",IF(C70="Continuous",N(INDEX('2 Phases'!$G$7:$G$12,B70))*G69,0))</f>
        <v/>
      </c>
      <c r="J70" s="15" t="str">
        <f aca="false">IF($B70="","",IF(C70="Continuous",N(INDEX('2 Phases'!$H$7:$H$12,B70))*G69,0))</f>
        <v/>
      </c>
      <c r="K70" s="15" t="str">
        <f aca="false">IF($B70="","",I70-J70)</f>
        <v/>
      </c>
      <c r="L70" s="14" t="str">
        <f aca="false">IF($B70="","",J70*1000*H70)</f>
        <v/>
      </c>
      <c r="M70" s="15" t="str">
        <f aca="false">IF($B70="","",M69+F70+I70)</f>
        <v/>
      </c>
      <c r="N70" s="15" t="str">
        <f aca="false">IF($B70="","",N69+K70)</f>
        <v/>
      </c>
      <c r="O70" s="15" t="str">
        <f aca="false">IF($B70="","",O69+J70)</f>
        <v/>
      </c>
      <c r="P70" s="14" t="str">
        <f aca="false">IF($B70="","",P69+L70)</f>
        <v/>
      </c>
      <c r="Q70" s="18" t="str">
        <f aca="false">IF(OR($B70="",Q69="",'1 Setup'!$C$10=""),"",IF(AND($C70="Continuous",N(INDEX('2 Phases'!$G$7:$G$12,B70))&gt;0),IF('1 Setup'!$G$10="","",MAX(0,('1 Setup'!$G$10+('1 Setup'!$H$10*'1 Setup'!$C$10*0.00000024*$H70)/N(INDEX('2 Phases'!$G$7:$G$12,B70)))+(((Q69*($G69-$F69)+N('1 Setup'!$F$10)*$F69)/$G69)-('1 Setup'!$G$10+('1 Setup'!$H$10*'1 Setup'!$C$10*0.00000024*$H70)/N(INDEX('2 Phases'!$G$7:$G$12,B70))))*EXP(-N(INDEX('2 Phases'!$G$7:$G$12,B70))))),MAX(0,((Q69*($G69-$F69)+N('1 Setup'!$F$10)*$F69)/$G69)+('1 Setup'!$H$10*'1 Setup'!$C$10*0.00000024*$H70))))</f>
        <v/>
      </c>
      <c r="R70" s="18" t="str">
        <f aca="false">IF(OR($B70="",R69="",'1 Setup'!$C$11=""),"",IF(AND($C70="Continuous",N(INDEX('2 Phases'!$G$7:$G$12,B70))&gt;0),IF('1 Setup'!$G$11="","",MAX(0,('1 Setup'!$G$11+('1 Setup'!$H$11*'1 Setup'!$C$11*0.00000024*$H70)/N(INDEX('2 Phases'!$G$7:$G$12,B70)))+(((R69*($G69-$F69)+N('1 Setup'!$F$11)*$F69)/$G69)-('1 Setup'!$G$11+('1 Setup'!$H$11*'1 Setup'!$C$11*0.00000024*$H70)/N(INDEX('2 Phases'!$G$7:$G$12,B70))))*EXP(-N(INDEX('2 Phases'!$G$7:$G$12,B70))))),MAX(0,((R69*($G69-$F69)+N('1 Setup'!$F$11)*$F69)/$G69)+('1 Setup'!$H$11*'1 Setup'!$C$11*0.00000024*$H70))))</f>
        <v/>
      </c>
      <c r="S70" s="18" t="str">
        <f aca="false">IF(OR($B70="",S69="",'1 Setup'!$C$12=""),"",IF(AND($C70="Continuous",N(INDEX('2 Phases'!$G$7:$G$12,B70))&gt;0),IF('1 Setup'!$G$12="","",MAX(0,('1 Setup'!$G$12+('1 Setup'!$H$12*'1 Setup'!$C$12*0.00000024*$H70)/N(INDEX('2 Phases'!$G$7:$G$12,B70)))+(((S69*($G69-$F69)+N('1 Setup'!$F$12)*$F69)/$G69)-('1 Setup'!$G$12+('1 Setup'!$H$12*'1 Setup'!$C$12*0.00000024*$H70)/N(INDEX('2 Phases'!$G$7:$G$12,B70))))*EXP(-N(INDEX('2 Phases'!$G$7:$G$12,B70))))),MAX(0,((S69*($G69-$F69)+N('1 Setup'!$F$12)*$F69)/$G69)+('1 Setup'!$H$12*'1 Setup'!$C$12*0.00000024*$H70))))</f>
        <v/>
      </c>
      <c r="T70" s="18" t="str">
        <f aca="false">IF(OR($B70="",T69="",'1 Setup'!$C$13=""),"",IF(AND($C70="Continuous",N(INDEX('2 Phases'!$G$7:$G$12,B70))&gt;0),IF('1 Setup'!$G$13="","",MAX(0,('1 Setup'!$G$13+('1 Setup'!$H$13*'1 Setup'!$C$13*0.00000024*$H70)/N(INDEX('2 Phases'!$G$7:$G$12,B70)))+(((T69*($G69-$F69)+N('1 Setup'!$F$13)*$F69)/$G69)-('1 Setup'!$G$13+('1 Setup'!$H$13*'1 Setup'!$C$13*0.00000024*$H70)/N(INDEX('2 Phases'!$G$7:$G$12,B70))))*EXP(-N(INDEX('2 Phases'!$G$7:$G$12,B70))))),MAX(0,((T69*($G69-$F69)+N('1 Setup'!$F$13)*$F69)/$G69)+('1 Setup'!$H$13*'1 Setup'!$C$13*0.00000024*$H70))))</f>
        <v/>
      </c>
      <c r="U70" s="18" t="str">
        <f aca="false">IF(OR($B70="",U69="",'1 Setup'!$C$14=""),"",IF(AND($C70="Continuous",N(INDEX('2 Phases'!$G$7:$G$12,B70))&gt;0),IF('1 Setup'!$G$14="","",MAX(0,('1 Setup'!$G$14+('1 Setup'!$H$14*'1 Setup'!$C$14*0.00000024*$H70)/N(INDEX('2 Phases'!$G$7:$G$12,B70)))+(((U69*($G69-$F69)+N('1 Setup'!$F$14)*$F69)/$G69)-('1 Setup'!$G$14+('1 Setup'!$H$14*'1 Setup'!$C$14*0.00000024*$H70)/N(INDEX('2 Phases'!$G$7:$G$12,B70))))*EXP(-N(INDEX('2 Phases'!$G$7:$G$12,B70))))),MAX(0,((U69*($G69-$F69)+N('1 Setup'!$F$14)*$F69)/$G69)+('1 Setup'!$H$14*'1 Setup'!$C$14*0.00000024*$H70))))</f>
        <v/>
      </c>
      <c r="V70" s="18" t="str">
        <f aca="false">IF($B70="","",E70/1000000*'1 Setup'!$B$7)</f>
        <v/>
      </c>
      <c r="W70" s="18" t="str">
        <f aca="false">IF($B70="","",V70*G70)</f>
        <v/>
      </c>
      <c r="X70" s="18" t="str">
        <f aca="false">IF($B70="","",P70*'1 Setup'!$B$7/1000000000)</f>
        <v/>
      </c>
      <c r="Y70" s="18" t="str">
        <f aca="false">IF($B70="","",L70*'1 Setup'!$B$7/1000000000)</f>
        <v/>
      </c>
    </row>
    <row r="71" customFormat="false" ht="15" hidden="false" customHeight="false" outlineLevel="0" collapsed="false">
      <c r="A71" s="7" t="n">
        <v>65</v>
      </c>
      <c r="B71" s="7" t="str">
        <f aca="false">IF(A71&gt;'2 Phases'!$D$4,"",IF(A71=0,1,COUNTIF('2 Phases'!$M$7:$M$12,"&lt;"&amp;A71)+1))</f>
        <v/>
      </c>
      <c r="C71" s="7" t="str">
        <f aca="false">IF($B71="","",INDEX('2 Phases'!$C$7:$C$12,B71))</f>
        <v/>
      </c>
      <c r="D71" s="7" t="str">
        <f aca="false">IF($B71="","",A71-INDEX('2 Phases'!$L$7:$L$12,B71))</f>
        <v/>
      </c>
      <c r="E71" s="14" t="str">
        <f aca="false">IF($B71="","",IFERROR(IF(C71="Continuous",INDEX('2 Phases'!$N$7:$N$12,B71)*EXP((INDEX('2 Phases'!$P$7:$P$12,B71)-N(INDEX('2 Phases'!$H$7:$H$12,B71)))*D71),INDEX('2 Phases'!$N$7:$N$12,B71)*(IF(INDEX('2 Phases'!$E$7:$E$12,B71)="",INDEX('2 Phases'!$N$7:$N$12,B71),INDEX('2 Phases'!$E$7:$E$12,B71))/INDEX('2 Phases'!$N$7:$N$12,B71))^(D71/INDEX('2 Phases'!$D$7:$D$12,B71))),""))</f>
        <v/>
      </c>
      <c r="F71" s="15" t="n">
        <f aca="false">IF(OR($B71="",C71&lt;&gt;"Fed-batch",D71=0),0,IFERROR(N(INDEX('3 Feed regimes'!$B$6:$E$35,D71,MATCH(INDEX('2 Phases'!$F$7:$F$12,B71),'3 Feed regimes'!$B$4:$E$4,0)))*'1 Setup'!$B$5/100,0))</f>
        <v>0</v>
      </c>
      <c r="G71" s="15" t="str">
        <f aca="false">IF($B71="","",G70+F71)</f>
        <v/>
      </c>
      <c r="H71" s="14" t="str">
        <f aca="false">IF($B71="","",(E70+E71)/2)</f>
        <v/>
      </c>
      <c r="I71" s="15" t="str">
        <f aca="false">IF($B71="","",IF(C71="Continuous",N(INDEX('2 Phases'!$G$7:$G$12,B71))*G70,0))</f>
        <v/>
      </c>
      <c r="J71" s="15" t="str">
        <f aca="false">IF($B71="","",IF(C71="Continuous",N(INDEX('2 Phases'!$H$7:$H$12,B71))*G70,0))</f>
        <v/>
      </c>
      <c r="K71" s="15" t="str">
        <f aca="false">IF($B71="","",I71-J71)</f>
        <v/>
      </c>
      <c r="L71" s="14" t="str">
        <f aca="false">IF($B71="","",J71*1000*H71)</f>
        <v/>
      </c>
      <c r="M71" s="15" t="str">
        <f aca="false">IF($B71="","",M70+F71+I71)</f>
        <v/>
      </c>
      <c r="N71" s="15" t="str">
        <f aca="false">IF($B71="","",N70+K71)</f>
        <v/>
      </c>
      <c r="O71" s="15" t="str">
        <f aca="false">IF($B71="","",O70+J71)</f>
        <v/>
      </c>
      <c r="P71" s="14" t="str">
        <f aca="false">IF($B71="","",P70+L71)</f>
        <v/>
      </c>
      <c r="Q71" s="18" t="str">
        <f aca="false">IF(OR($B71="",Q70="",'1 Setup'!$C$10=""),"",IF(AND($C71="Continuous",N(INDEX('2 Phases'!$G$7:$G$12,B71))&gt;0),IF('1 Setup'!$G$10="","",MAX(0,('1 Setup'!$G$10+('1 Setup'!$H$10*'1 Setup'!$C$10*0.00000024*$H71)/N(INDEX('2 Phases'!$G$7:$G$12,B71)))+(((Q70*($G70-$F70)+N('1 Setup'!$F$10)*$F70)/$G70)-('1 Setup'!$G$10+('1 Setup'!$H$10*'1 Setup'!$C$10*0.00000024*$H71)/N(INDEX('2 Phases'!$G$7:$G$12,B71))))*EXP(-N(INDEX('2 Phases'!$G$7:$G$12,B71))))),MAX(0,((Q70*($G70-$F70)+N('1 Setup'!$F$10)*$F70)/$G70)+('1 Setup'!$H$10*'1 Setup'!$C$10*0.00000024*$H71))))</f>
        <v/>
      </c>
      <c r="R71" s="18" t="str">
        <f aca="false">IF(OR($B71="",R70="",'1 Setup'!$C$11=""),"",IF(AND($C71="Continuous",N(INDEX('2 Phases'!$G$7:$G$12,B71))&gt;0),IF('1 Setup'!$G$11="","",MAX(0,('1 Setup'!$G$11+('1 Setup'!$H$11*'1 Setup'!$C$11*0.00000024*$H71)/N(INDEX('2 Phases'!$G$7:$G$12,B71)))+(((R70*($G70-$F70)+N('1 Setup'!$F$11)*$F70)/$G70)-('1 Setup'!$G$11+('1 Setup'!$H$11*'1 Setup'!$C$11*0.00000024*$H71)/N(INDEX('2 Phases'!$G$7:$G$12,B71))))*EXP(-N(INDEX('2 Phases'!$G$7:$G$12,B71))))),MAX(0,((R70*($G70-$F70)+N('1 Setup'!$F$11)*$F70)/$G70)+('1 Setup'!$H$11*'1 Setup'!$C$11*0.00000024*$H71))))</f>
        <v/>
      </c>
      <c r="S71" s="18" t="str">
        <f aca="false">IF(OR($B71="",S70="",'1 Setup'!$C$12=""),"",IF(AND($C71="Continuous",N(INDEX('2 Phases'!$G$7:$G$12,B71))&gt;0),IF('1 Setup'!$G$12="","",MAX(0,('1 Setup'!$G$12+('1 Setup'!$H$12*'1 Setup'!$C$12*0.00000024*$H71)/N(INDEX('2 Phases'!$G$7:$G$12,B71)))+(((S70*($G70-$F70)+N('1 Setup'!$F$12)*$F70)/$G70)-('1 Setup'!$G$12+('1 Setup'!$H$12*'1 Setup'!$C$12*0.00000024*$H71)/N(INDEX('2 Phases'!$G$7:$G$12,B71))))*EXP(-N(INDEX('2 Phases'!$G$7:$G$12,B71))))),MAX(0,((S70*($G70-$F70)+N('1 Setup'!$F$12)*$F70)/$G70)+('1 Setup'!$H$12*'1 Setup'!$C$12*0.00000024*$H71))))</f>
        <v/>
      </c>
      <c r="T71" s="18" t="str">
        <f aca="false">IF(OR($B71="",T70="",'1 Setup'!$C$13=""),"",IF(AND($C71="Continuous",N(INDEX('2 Phases'!$G$7:$G$12,B71))&gt;0),IF('1 Setup'!$G$13="","",MAX(0,('1 Setup'!$G$13+('1 Setup'!$H$13*'1 Setup'!$C$13*0.00000024*$H71)/N(INDEX('2 Phases'!$G$7:$G$12,B71)))+(((T70*($G70-$F70)+N('1 Setup'!$F$13)*$F70)/$G70)-('1 Setup'!$G$13+('1 Setup'!$H$13*'1 Setup'!$C$13*0.00000024*$H71)/N(INDEX('2 Phases'!$G$7:$G$12,B71))))*EXP(-N(INDEX('2 Phases'!$G$7:$G$12,B71))))),MAX(0,((T70*($G70-$F70)+N('1 Setup'!$F$13)*$F70)/$G70)+('1 Setup'!$H$13*'1 Setup'!$C$13*0.00000024*$H71))))</f>
        <v/>
      </c>
      <c r="U71" s="18" t="str">
        <f aca="false">IF(OR($B71="",U70="",'1 Setup'!$C$14=""),"",IF(AND($C71="Continuous",N(INDEX('2 Phases'!$G$7:$G$12,B71))&gt;0),IF('1 Setup'!$G$14="","",MAX(0,('1 Setup'!$G$14+('1 Setup'!$H$14*'1 Setup'!$C$14*0.00000024*$H71)/N(INDEX('2 Phases'!$G$7:$G$12,B71)))+(((U70*($G70-$F70)+N('1 Setup'!$F$14)*$F70)/$G70)-('1 Setup'!$G$14+('1 Setup'!$H$14*'1 Setup'!$C$14*0.00000024*$H71)/N(INDEX('2 Phases'!$G$7:$G$12,B71))))*EXP(-N(INDEX('2 Phases'!$G$7:$G$12,B71))))),MAX(0,((U70*($G70-$F70)+N('1 Setup'!$F$14)*$F70)/$G70)+('1 Setup'!$H$14*'1 Setup'!$C$14*0.00000024*$H71))))</f>
        <v/>
      </c>
      <c r="V71" s="18" t="str">
        <f aca="false">IF($B71="","",E71/1000000*'1 Setup'!$B$7)</f>
        <v/>
      </c>
      <c r="W71" s="18" t="str">
        <f aca="false">IF($B71="","",V71*G71)</f>
        <v/>
      </c>
      <c r="X71" s="18" t="str">
        <f aca="false">IF($B71="","",P71*'1 Setup'!$B$7/1000000000)</f>
        <v/>
      </c>
      <c r="Y71" s="18" t="str">
        <f aca="false">IF($B71="","",L71*'1 Setup'!$B$7/1000000000)</f>
        <v/>
      </c>
    </row>
    <row r="72" customFormat="false" ht="15" hidden="false" customHeight="false" outlineLevel="0" collapsed="false">
      <c r="A72" s="7" t="n">
        <v>66</v>
      </c>
      <c r="B72" s="7" t="str">
        <f aca="false">IF(A72&gt;'2 Phases'!$D$4,"",IF(A72=0,1,COUNTIF('2 Phases'!$M$7:$M$12,"&lt;"&amp;A72)+1))</f>
        <v/>
      </c>
      <c r="C72" s="7" t="str">
        <f aca="false">IF($B72="","",INDEX('2 Phases'!$C$7:$C$12,B72))</f>
        <v/>
      </c>
      <c r="D72" s="7" t="str">
        <f aca="false">IF($B72="","",A72-INDEX('2 Phases'!$L$7:$L$12,B72))</f>
        <v/>
      </c>
      <c r="E72" s="14" t="str">
        <f aca="false">IF($B72="","",IFERROR(IF(C72="Continuous",INDEX('2 Phases'!$N$7:$N$12,B72)*EXP((INDEX('2 Phases'!$P$7:$P$12,B72)-N(INDEX('2 Phases'!$H$7:$H$12,B72)))*D72),INDEX('2 Phases'!$N$7:$N$12,B72)*(IF(INDEX('2 Phases'!$E$7:$E$12,B72)="",INDEX('2 Phases'!$N$7:$N$12,B72),INDEX('2 Phases'!$E$7:$E$12,B72))/INDEX('2 Phases'!$N$7:$N$12,B72))^(D72/INDEX('2 Phases'!$D$7:$D$12,B72))),""))</f>
        <v/>
      </c>
      <c r="F72" s="15" t="n">
        <f aca="false">IF(OR($B72="",C72&lt;&gt;"Fed-batch",D72=0),0,IFERROR(N(INDEX('3 Feed regimes'!$B$6:$E$35,D72,MATCH(INDEX('2 Phases'!$F$7:$F$12,B72),'3 Feed regimes'!$B$4:$E$4,0)))*'1 Setup'!$B$5/100,0))</f>
        <v>0</v>
      </c>
      <c r="G72" s="15" t="str">
        <f aca="false">IF($B72="","",G71+F72)</f>
        <v/>
      </c>
      <c r="H72" s="14" t="str">
        <f aca="false">IF($B72="","",(E71+E72)/2)</f>
        <v/>
      </c>
      <c r="I72" s="15" t="str">
        <f aca="false">IF($B72="","",IF(C72="Continuous",N(INDEX('2 Phases'!$G$7:$G$12,B72))*G71,0))</f>
        <v/>
      </c>
      <c r="J72" s="15" t="str">
        <f aca="false">IF($B72="","",IF(C72="Continuous",N(INDEX('2 Phases'!$H$7:$H$12,B72))*G71,0))</f>
        <v/>
      </c>
      <c r="K72" s="15" t="str">
        <f aca="false">IF($B72="","",I72-J72)</f>
        <v/>
      </c>
      <c r="L72" s="14" t="str">
        <f aca="false">IF($B72="","",J72*1000*H72)</f>
        <v/>
      </c>
      <c r="M72" s="15" t="str">
        <f aca="false">IF($B72="","",M71+F72+I72)</f>
        <v/>
      </c>
      <c r="N72" s="15" t="str">
        <f aca="false">IF($B72="","",N71+K72)</f>
        <v/>
      </c>
      <c r="O72" s="15" t="str">
        <f aca="false">IF($B72="","",O71+J72)</f>
        <v/>
      </c>
      <c r="P72" s="14" t="str">
        <f aca="false">IF($B72="","",P71+L72)</f>
        <v/>
      </c>
      <c r="Q72" s="18" t="str">
        <f aca="false">IF(OR($B72="",Q71="",'1 Setup'!$C$10=""),"",IF(AND($C72="Continuous",N(INDEX('2 Phases'!$G$7:$G$12,B72))&gt;0),IF('1 Setup'!$G$10="","",MAX(0,('1 Setup'!$G$10+('1 Setup'!$H$10*'1 Setup'!$C$10*0.00000024*$H72)/N(INDEX('2 Phases'!$G$7:$G$12,B72)))+(((Q71*($G71-$F71)+N('1 Setup'!$F$10)*$F71)/$G71)-('1 Setup'!$G$10+('1 Setup'!$H$10*'1 Setup'!$C$10*0.00000024*$H72)/N(INDEX('2 Phases'!$G$7:$G$12,B72))))*EXP(-N(INDEX('2 Phases'!$G$7:$G$12,B72))))),MAX(0,((Q71*($G71-$F71)+N('1 Setup'!$F$10)*$F71)/$G71)+('1 Setup'!$H$10*'1 Setup'!$C$10*0.00000024*$H72))))</f>
        <v/>
      </c>
      <c r="R72" s="18" t="str">
        <f aca="false">IF(OR($B72="",R71="",'1 Setup'!$C$11=""),"",IF(AND($C72="Continuous",N(INDEX('2 Phases'!$G$7:$G$12,B72))&gt;0),IF('1 Setup'!$G$11="","",MAX(0,('1 Setup'!$G$11+('1 Setup'!$H$11*'1 Setup'!$C$11*0.00000024*$H72)/N(INDEX('2 Phases'!$G$7:$G$12,B72)))+(((R71*($G71-$F71)+N('1 Setup'!$F$11)*$F71)/$G71)-('1 Setup'!$G$11+('1 Setup'!$H$11*'1 Setup'!$C$11*0.00000024*$H72)/N(INDEX('2 Phases'!$G$7:$G$12,B72))))*EXP(-N(INDEX('2 Phases'!$G$7:$G$12,B72))))),MAX(0,((R71*($G71-$F71)+N('1 Setup'!$F$11)*$F71)/$G71)+('1 Setup'!$H$11*'1 Setup'!$C$11*0.00000024*$H72))))</f>
        <v/>
      </c>
      <c r="S72" s="18" t="str">
        <f aca="false">IF(OR($B72="",S71="",'1 Setup'!$C$12=""),"",IF(AND($C72="Continuous",N(INDEX('2 Phases'!$G$7:$G$12,B72))&gt;0),IF('1 Setup'!$G$12="","",MAX(0,('1 Setup'!$G$12+('1 Setup'!$H$12*'1 Setup'!$C$12*0.00000024*$H72)/N(INDEX('2 Phases'!$G$7:$G$12,B72)))+(((S71*($G71-$F71)+N('1 Setup'!$F$12)*$F71)/$G71)-('1 Setup'!$G$12+('1 Setup'!$H$12*'1 Setup'!$C$12*0.00000024*$H72)/N(INDEX('2 Phases'!$G$7:$G$12,B72))))*EXP(-N(INDEX('2 Phases'!$G$7:$G$12,B72))))),MAX(0,((S71*($G71-$F71)+N('1 Setup'!$F$12)*$F71)/$G71)+('1 Setup'!$H$12*'1 Setup'!$C$12*0.00000024*$H72))))</f>
        <v/>
      </c>
      <c r="T72" s="18" t="str">
        <f aca="false">IF(OR($B72="",T71="",'1 Setup'!$C$13=""),"",IF(AND($C72="Continuous",N(INDEX('2 Phases'!$G$7:$G$12,B72))&gt;0),IF('1 Setup'!$G$13="","",MAX(0,('1 Setup'!$G$13+('1 Setup'!$H$13*'1 Setup'!$C$13*0.00000024*$H72)/N(INDEX('2 Phases'!$G$7:$G$12,B72)))+(((T71*($G71-$F71)+N('1 Setup'!$F$13)*$F71)/$G71)-('1 Setup'!$G$13+('1 Setup'!$H$13*'1 Setup'!$C$13*0.00000024*$H72)/N(INDEX('2 Phases'!$G$7:$G$12,B72))))*EXP(-N(INDEX('2 Phases'!$G$7:$G$12,B72))))),MAX(0,((T71*($G71-$F71)+N('1 Setup'!$F$13)*$F71)/$G71)+('1 Setup'!$H$13*'1 Setup'!$C$13*0.00000024*$H72))))</f>
        <v/>
      </c>
      <c r="U72" s="18" t="str">
        <f aca="false">IF(OR($B72="",U71="",'1 Setup'!$C$14=""),"",IF(AND($C72="Continuous",N(INDEX('2 Phases'!$G$7:$G$12,B72))&gt;0),IF('1 Setup'!$G$14="","",MAX(0,('1 Setup'!$G$14+('1 Setup'!$H$14*'1 Setup'!$C$14*0.00000024*$H72)/N(INDEX('2 Phases'!$G$7:$G$12,B72)))+(((U71*($G71-$F71)+N('1 Setup'!$F$14)*$F71)/$G71)-('1 Setup'!$G$14+('1 Setup'!$H$14*'1 Setup'!$C$14*0.00000024*$H72)/N(INDEX('2 Phases'!$G$7:$G$12,B72))))*EXP(-N(INDEX('2 Phases'!$G$7:$G$12,B72))))),MAX(0,((U71*($G71-$F71)+N('1 Setup'!$F$14)*$F71)/$G71)+('1 Setup'!$H$14*'1 Setup'!$C$14*0.00000024*$H72))))</f>
        <v/>
      </c>
      <c r="V72" s="18" t="str">
        <f aca="false">IF($B72="","",E72/1000000*'1 Setup'!$B$7)</f>
        <v/>
      </c>
      <c r="W72" s="18" t="str">
        <f aca="false">IF($B72="","",V72*G72)</f>
        <v/>
      </c>
      <c r="X72" s="18" t="str">
        <f aca="false">IF($B72="","",P72*'1 Setup'!$B$7/1000000000)</f>
        <v/>
      </c>
      <c r="Y72" s="18" t="str">
        <f aca="false">IF($B72="","",L72*'1 Setup'!$B$7/1000000000)</f>
        <v/>
      </c>
    </row>
    <row r="73" customFormat="false" ht="15" hidden="false" customHeight="false" outlineLevel="0" collapsed="false">
      <c r="A73" s="7" t="n">
        <v>67</v>
      </c>
      <c r="B73" s="7" t="str">
        <f aca="false">IF(A73&gt;'2 Phases'!$D$4,"",IF(A73=0,1,COUNTIF('2 Phases'!$M$7:$M$12,"&lt;"&amp;A73)+1))</f>
        <v/>
      </c>
      <c r="C73" s="7" t="str">
        <f aca="false">IF($B73="","",INDEX('2 Phases'!$C$7:$C$12,B73))</f>
        <v/>
      </c>
      <c r="D73" s="7" t="str">
        <f aca="false">IF($B73="","",A73-INDEX('2 Phases'!$L$7:$L$12,B73))</f>
        <v/>
      </c>
      <c r="E73" s="14" t="str">
        <f aca="false">IF($B73="","",IFERROR(IF(C73="Continuous",INDEX('2 Phases'!$N$7:$N$12,B73)*EXP((INDEX('2 Phases'!$P$7:$P$12,B73)-N(INDEX('2 Phases'!$H$7:$H$12,B73)))*D73),INDEX('2 Phases'!$N$7:$N$12,B73)*(IF(INDEX('2 Phases'!$E$7:$E$12,B73)="",INDEX('2 Phases'!$N$7:$N$12,B73),INDEX('2 Phases'!$E$7:$E$12,B73))/INDEX('2 Phases'!$N$7:$N$12,B73))^(D73/INDEX('2 Phases'!$D$7:$D$12,B73))),""))</f>
        <v/>
      </c>
      <c r="F73" s="15" t="n">
        <f aca="false">IF(OR($B73="",C73&lt;&gt;"Fed-batch",D73=0),0,IFERROR(N(INDEX('3 Feed regimes'!$B$6:$E$35,D73,MATCH(INDEX('2 Phases'!$F$7:$F$12,B73),'3 Feed regimes'!$B$4:$E$4,0)))*'1 Setup'!$B$5/100,0))</f>
        <v>0</v>
      </c>
      <c r="G73" s="15" t="str">
        <f aca="false">IF($B73="","",G72+F73)</f>
        <v/>
      </c>
      <c r="H73" s="14" t="str">
        <f aca="false">IF($B73="","",(E72+E73)/2)</f>
        <v/>
      </c>
      <c r="I73" s="15" t="str">
        <f aca="false">IF($B73="","",IF(C73="Continuous",N(INDEX('2 Phases'!$G$7:$G$12,B73))*G72,0))</f>
        <v/>
      </c>
      <c r="J73" s="15" t="str">
        <f aca="false">IF($B73="","",IF(C73="Continuous",N(INDEX('2 Phases'!$H$7:$H$12,B73))*G72,0))</f>
        <v/>
      </c>
      <c r="K73" s="15" t="str">
        <f aca="false">IF($B73="","",I73-J73)</f>
        <v/>
      </c>
      <c r="L73" s="14" t="str">
        <f aca="false">IF($B73="","",J73*1000*H73)</f>
        <v/>
      </c>
      <c r="M73" s="15" t="str">
        <f aca="false">IF($B73="","",M72+F73+I73)</f>
        <v/>
      </c>
      <c r="N73" s="15" t="str">
        <f aca="false">IF($B73="","",N72+K73)</f>
        <v/>
      </c>
      <c r="O73" s="15" t="str">
        <f aca="false">IF($B73="","",O72+J73)</f>
        <v/>
      </c>
      <c r="P73" s="14" t="str">
        <f aca="false">IF($B73="","",P72+L73)</f>
        <v/>
      </c>
      <c r="Q73" s="18" t="str">
        <f aca="false">IF(OR($B73="",Q72="",'1 Setup'!$C$10=""),"",IF(AND($C73="Continuous",N(INDEX('2 Phases'!$G$7:$G$12,B73))&gt;0),IF('1 Setup'!$G$10="","",MAX(0,('1 Setup'!$G$10+('1 Setup'!$H$10*'1 Setup'!$C$10*0.00000024*$H73)/N(INDEX('2 Phases'!$G$7:$G$12,B73)))+(((Q72*($G72-$F72)+N('1 Setup'!$F$10)*$F72)/$G72)-('1 Setup'!$G$10+('1 Setup'!$H$10*'1 Setup'!$C$10*0.00000024*$H73)/N(INDEX('2 Phases'!$G$7:$G$12,B73))))*EXP(-N(INDEX('2 Phases'!$G$7:$G$12,B73))))),MAX(0,((Q72*($G72-$F72)+N('1 Setup'!$F$10)*$F72)/$G72)+('1 Setup'!$H$10*'1 Setup'!$C$10*0.00000024*$H73))))</f>
        <v/>
      </c>
      <c r="R73" s="18" t="str">
        <f aca="false">IF(OR($B73="",R72="",'1 Setup'!$C$11=""),"",IF(AND($C73="Continuous",N(INDEX('2 Phases'!$G$7:$G$12,B73))&gt;0),IF('1 Setup'!$G$11="","",MAX(0,('1 Setup'!$G$11+('1 Setup'!$H$11*'1 Setup'!$C$11*0.00000024*$H73)/N(INDEX('2 Phases'!$G$7:$G$12,B73)))+(((R72*($G72-$F72)+N('1 Setup'!$F$11)*$F72)/$G72)-('1 Setup'!$G$11+('1 Setup'!$H$11*'1 Setup'!$C$11*0.00000024*$H73)/N(INDEX('2 Phases'!$G$7:$G$12,B73))))*EXP(-N(INDEX('2 Phases'!$G$7:$G$12,B73))))),MAX(0,((R72*($G72-$F72)+N('1 Setup'!$F$11)*$F72)/$G72)+('1 Setup'!$H$11*'1 Setup'!$C$11*0.00000024*$H73))))</f>
        <v/>
      </c>
      <c r="S73" s="18" t="str">
        <f aca="false">IF(OR($B73="",S72="",'1 Setup'!$C$12=""),"",IF(AND($C73="Continuous",N(INDEX('2 Phases'!$G$7:$G$12,B73))&gt;0),IF('1 Setup'!$G$12="","",MAX(0,('1 Setup'!$G$12+('1 Setup'!$H$12*'1 Setup'!$C$12*0.00000024*$H73)/N(INDEX('2 Phases'!$G$7:$G$12,B73)))+(((S72*($G72-$F72)+N('1 Setup'!$F$12)*$F72)/$G72)-('1 Setup'!$G$12+('1 Setup'!$H$12*'1 Setup'!$C$12*0.00000024*$H73)/N(INDEX('2 Phases'!$G$7:$G$12,B73))))*EXP(-N(INDEX('2 Phases'!$G$7:$G$12,B73))))),MAX(0,((S72*($G72-$F72)+N('1 Setup'!$F$12)*$F72)/$G72)+('1 Setup'!$H$12*'1 Setup'!$C$12*0.00000024*$H73))))</f>
        <v/>
      </c>
      <c r="T73" s="18" t="str">
        <f aca="false">IF(OR($B73="",T72="",'1 Setup'!$C$13=""),"",IF(AND($C73="Continuous",N(INDEX('2 Phases'!$G$7:$G$12,B73))&gt;0),IF('1 Setup'!$G$13="","",MAX(0,('1 Setup'!$G$13+('1 Setup'!$H$13*'1 Setup'!$C$13*0.00000024*$H73)/N(INDEX('2 Phases'!$G$7:$G$12,B73)))+(((T72*($G72-$F72)+N('1 Setup'!$F$13)*$F72)/$G72)-('1 Setup'!$G$13+('1 Setup'!$H$13*'1 Setup'!$C$13*0.00000024*$H73)/N(INDEX('2 Phases'!$G$7:$G$12,B73))))*EXP(-N(INDEX('2 Phases'!$G$7:$G$12,B73))))),MAX(0,((T72*($G72-$F72)+N('1 Setup'!$F$13)*$F72)/$G72)+('1 Setup'!$H$13*'1 Setup'!$C$13*0.00000024*$H73))))</f>
        <v/>
      </c>
      <c r="U73" s="18" t="str">
        <f aca="false">IF(OR($B73="",U72="",'1 Setup'!$C$14=""),"",IF(AND($C73="Continuous",N(INDEX('2 Phases'!$G$7:$G$12,B73))&gt;0),IF('1 Setup'!$G$14="","",MAX(0,('1 Setup'!$G$14+('1 Setup'!$H$14*'1 Setup'!$C$14*0.00000024*$H73)/N(INDEX('2 Phases'!$G$7:$G$12,B73)))+(((U72*($G72-$F72)+N('1 Setup'!$F$14)*$F72)/$G72)-('1 Setup'!$G$14+('1 Setup'!$H$14*'1 Setup'!$C$14*0.00000024*$H73)/N(INDEX('2 Phases'!$G$7:$G$12,B73))))*EXP(-N(INDEX('2 Phases'!$G$7:$G$12,B73))))),MAX(0,((U72*($G72-$F72)+N('1 Setup'!$F$14)*$F72)/$G72)+('1 Setup'!$H$14*'1 Setup'!$C$14*0.00000024*$H73))))</f>
        <v/>
      </c>
      <c r="V73" s="18" t="str">
        <f aca="false">IF($B73="","",E73/1000000*'1 Setup'!$B$7)</f>
        <v/>
      </c>
      <c r="W73" s="18" t="str">
        <f aca="false">IF($B73="","",V73*G73)</f>
        <v/>
      </c>
      <c r="X73" s="18" t="str">
        <f aca="false">IF($B73="","",P73*'1 Setup'!$B$7/1000000000)</f>
        <v/>
      </c>
      <c r="Y73" s="18" t="str">
        <f aca="false">IF($B73="","",L73*'1 Setup'!$B$7/1000000000)</f>
        <v/>
      </c>
    </row>
    <row r="74" customFormat="false" ht="15" hidden="false" customHeight="false" outlineLevel="0" collapsed="false">
      <c r="A74" s="7" t="n">
        <v>68</v>
      </c>
      <c r="B74" s="7" t="str">
        <f aca="false">IF(A74&gt;'2 Phases'!$D$4,"",IF(A74=0,1,COUNTIF('2 Phases'!$M$7:$M$12,"&lt;"&amp;A74)+1))</f>
        <v/>
      </c>
      <c r="C74" s="7" t="str">
        <f aca="false">IF($B74="","",INDEX('2 Phases'!$C$7:$C$12,B74))</f>
        <v/>
      </c>
      <c r="D74" s="7" t="str">
        <f aca="false">IF($B74="","",A74-INDEX('2 Phases'!$L$7:$L$12,B74))</f>
        <v/>
      </c>
      <c r="E74" s="14" t="str">
        <f aca="false">IF($B74="","",IFERROR(IF(C74="Continuous",INDEX('2 Phases'!$N$7:$N$12,B74)*EXP((INDEX('2 Phases'!$P$7:$P$12,B74)-N(INDEX('2 Phases'!$H$7:$H$12,B74)))*D74),INDEX('2 Phases'!$N$7:$N$12,B74)*(IF(INDEX('2 Phases'!$E$7:$E$12,B74)="",INDEX('2 Phases'!$N$7:$N$12,B74),INDEX('2 Phases'!$E$7:$E$12,B74))/INDEX('2 Phases'!$N$7:$N$12,B74))^(D74/INDEX('2 Phases'!$D$7:$D$12,B74))),""))</f>
        <v/>
      </c>
      <c r="F74" s="15" t="n">
        <f aca="false">IF(OR($B74="",C74&lt;&gt;"Fed-batch",D74=0),0,IFERROR(N(INDEX('3 Feed regimes'!$B$6:$E$35,D74,MATCH(INDEX('2 Phases'!$F$7:$F$12,B74),'3 Feed regimes'!$B$4:$E$4,0)))*'1 Setup'!$B$5/100,0))</f>
        <v>0</v>
      </c>
      <c r="G74" s="15" t="str">
        <f aca="false">IF($B74="","",G73+F74)</f>
        <v/>
      </c>
      <c r="H74" s="14" t="str">
        <f aca="false">IF($B74="","",(E73+E74)/2)</f>
        <v/>
      </c>
      <c r="I74" s="15" t="str">
        <f aca="false">IF($B74="","",IF(C74="Continuous",N(INDEX('2 Phases'!$G$7:$G$12,B74))*G73,0))</f>
        <v/>
      </c>
      <c r="J74" s="15" t="str">
        <f aca="false">IF($B74="","",IF(C74="Continuous",N(INDEX('2 Phases'!$H$7:$H$12,B74))*G73,0))</f>
        <v/>
      </c>
      <c r="K74" s="15" t="str">
        <f aca="false">IF($B74="","",I74-J74)</f>
        <v/>
      </c>
      <c r="L74" s="14" t="str">
        <f aca="false">IF($B74="","",J74*1000*H74)</f>
        <v/>
      </c>
      <c r="M74" s="15" t="str">
        <f aca="false">IF($B74="","",M73+F74+I74)</f>
        <v/>
      </c>
      <c r="N74" s="15" t="str">
        <f aca="false">IF($B74="","",N73+K74)</f>
        <v/>
      </c>
      <c r="O74" s="15" t="str">
        <f aca="false">IF($B74="","",O73+J74)</f>
        <v/>
      </c>
      <c r="P74" s="14" t="str">
        <f aca="false">IF($B74="","",P73+L74)</f>
        <v/>
      </c>
      <c r="Q74" s="18" t="str">
        <f aca="false">IF(OR($B74="",Q73="",'1 Setup'!$C$10=""),"",IF(AND($C74="Continuous",N(INDEX('2 Phases'!$G$7:$G$12,B74))&gt;0),IF('1 Setup'!$G$10="","",MAX(0,('1 Setup'!$G$10+('1 Setup'!$H$10*'1 Setup'!$C$10*0.00000024*$H74)/N(INDEX('2 Phases'!$G$7:$G$12,B74)))+(((Q73*($G73-$F73)+N('1 Setup'!$F$10)*$F73)/$G73)-('1 Setup'!$G$10+('1 Setup'!$H$10*'1 Setup'!$C$10*0.00000024*$H74)/N(INDEX('2 Phases'!$G$7:$G$12,B74))))*EXP(-N(INDEX('2 Phases'!$G$7:$G$12,B74))))),MAX(0,((Q73*($G73-$F73)+N('1 Setup'!$F$10)*$F73)/$G73)+('1 Setup'!$H$10*'1 Setup'!$C$10*0.00000024*$H74))))</f>
        <v/>
      </c>
      <c r="R74" s="18" t="str">
        <f aca="false">IF(OR($B74="",R73="",'1 Setup'!$C$11=""),"",IF(AND($C74="Continuous",N(INDEX('2 Phases'!$G$7:$G$12,B74))&gt;0),IF('1 Setup'!$G$11="","",MAX(0,('1 Setup'!$G$11+('1 Setup'!$H$11*'1 Setup'!$C$11*0.00000024*$H74)/N(INDEX('2 Phases'!$G$7:$G$12,B74)))+(((R73*($G73-$F73)+N('1 Setup'!$F$11)*$F73)/$G73)-('1 Setup'!$G$11+('1 Setup'!$H$11*'1 Setup'!$C$11*0.00000024*$H74)/N(INDEX('2 Phases'!$G$7:$G$12,B74))))*EXP(-N(INDEX('2 Phases'!$G$7:$G$12,B74))))),MAX(0,((R73*($G73-$F73)+N('1 Setup'!$F$11)*$F73)/$G73)+('1 Setup'!$H$11*'1 Setup'!$C$11*0.00000024*$H74))))</f>
        <v/>
      </c>
      <c r="S74" s="18" t="str">
        <f aca="false">IF(OR($B74="",S73="",'1 Setup'!$C$12=""),"",IF(AND($C74="Continuous",N(INDEX('2 Phases'!$G$7:$G$12,B74))&gt;0),IF('1 Setup'!$G$12="","",MAX(0,('1 Setup'!$G$12+('1 Setup'!$H$12*'1 Setup'!$C$12*0.00000024*$H74)/N(INDEX('2 Phases'!$G$7:$G$12,B74)))+(((S73*($G73-$F73)+N('1 Setup'!$F$12)*$F73)/$G73)-('1 Setup'!$G$12+('1 Setup'!$H$12*'1 Setup'!$C$12*0.00000024*$H74)/N(INDEX('2 Phases'!$G$7:$G$12,B74))))*EXP(-N(INDEX('2 Phases'!$G$7:$G$12,B74))))),MAX(0,((S73*($G73-$F73)+N('1 Setup'!$F$12)*$F73)/$G73)+('1 Setup'!$H$12*'1 Setup'!$C$12*0.00000024*$H74))))</f>
        <v/>
      </c>
      <c r="T74" s="18" t="str">
        <f aca="false">IF(OR($B74="",T73="",'1 Setup'!$C$13=""),"",IF(AND($C74="Continuous",N(INDEX('2 Phases'!$G$7:$G$12,B74))&gt;0),IF('1 Setup'!$G$13="","",MAX(0,('1 Setup'!$G$13+('1 Setup'!$H$13*'1 Setup'!$C$13*0.00000024*$H74)/N(INDEX('2 Phases'!$G$7:$G$12,B74)))+(((T73*($G73-$F73)+N('1 Setup'!$F$13)*$F73)/$G73)-('1 Setup'!$G$13+('1 Setup'!$H$13*'1 Setup'!$C$13*0.00000024*$H74)/N(INDEX('2 Phases'!$G$7:$G$12,B74))))*EXP(-N(INDEX('2 Phases'!$G$7:$G$12,B74))))),MAX(0,((T73*($G73-$F73)+N('1 Setup'!$F$13)*$F73)/$G73)+('1 Setup'!$H$13*'1 Setup'!$C$13*0.00000024*$H74))))</f>
        <v/>
      </c>
      <c r="U74" s="18" t="str">
        <f aca="false">IF(OR($B74="",U73="",'1 Setup'!$C$14=""),"",IF(AND($C74="Continuous",N(INDEX('2 Phases'!$G$7:$G$12,B74))&gt;0),IF('1 Setup'!$G$14="","",MAX(0,('1 Setup'!$G$14+('1 Setup'!$H$14*'1 Setup'!$C$14*0.00000024*$H74)/N(INDEX('2 Phases'!$G$7:$G$12,B74)))+(((U73*($G73-$F73)+N('1 Setup'!$F$14)*$F73)/$G73)-('1 Setup'!$G$14+('1 Setup'!$H$14*'1 Setup'!$C$14*0.00000024*$H74)/N(INDEX('2 Phases'!$G$7:$G$12,B74))))*EXP(-N(INDEX('2 Phases'!$G$7:$G$12,B74))))),MAX(0,((U73*($G73-$F73)+N('1 Setup'!$F$14)*$F73)/$G73)+('1 Setup'!$H$14*'1 Setup'!$C$14*0.00000024*$H74))))</f>
        <v/>
      </c>
      <c r="V74" s="18" t="str">
        <f aca="false">IF($B74="","",E74/1000000*'1 Setup'!$B$7)</f>
        <v/>
      </c>
      <c r="W74" s="18" t="str">
        <f aca="false">IF($B74="","",V74*G74)</f>
        <v/>
      </c>
      <c r="X74" s="18" t="str">
        <f aca="false">IF($B74="","",P74*'1 Setup'!$B$7/1000000000)</f>
        <v/>
      </c>
      <c r="Y74" s="18" t="str">
        <f aca="false">IF($B74="","",L74*'1 Setup'!$B$7/1000000000)</f>
        <v/>
      </c>
    </row>
    <row r="75" customFormat="false" ht="15" hidden="false" customHeight="false" outlineLevel="0" collapsed="false">
      <c r="A75" s="7" t="n">
        <v>69</v>
      </c>
      <c r="B75" s="7" t="str">
        <f aca="false">IF(A75&gt;'2 Phases'!$D$4,"",IF(A75=0,1,COUNTIF('2 Phases'!$M$7:$M$12,"&lt;"&amp;A75)+1))</f>
        <v/>
      </c>
      <c r="C75" s="7" t="str">
        <f aca="false">IF($B75="","",INDEX('2 Phases'!$C$7:$C$12,B75))</f>
        <v/>
      </c>
      <c r="D75" s="7" t="str">
        <f aca="false">IF($B75="","",A75-INDEX('2 Phases'!$L$7:$L$12,B75))</f>
        <v/>
      </c>
      <c r="E75" s="14" t="str">
        <f aca="false">IF($B75="","",IFERROR(IF(C75="Continuous",INDEX('2 Phases'!$N$7:$N$12,B75)*EXP((INDEX('2 Phases'!$P$7:$P$12,B75)-N(INDEX('2 Phases'!$H$7:$H$12,B75)))*D75),INDEX('2 Phases'!$N$7:$N$12,B75)*(IF(INDEX('2 Phases'!$E$7:$E$12,B75)="",INDEX('2 Phases'!$N$7:$N$12,B75),INDEX('2 Phases'!$E$7:$E$12,B75))/INDEX('2 Phases'!$N$7:$N$12,B75))^(D75/INDEX('2 Phases'!$D$7:$D$12,B75))),""))</f>
        <v/>
      </c>
      <c r="F75" s="15" t="n">
        <f aca="false">IF(OR($B75="",C75&lt;&gt;"Fed-batch",D75=0),0,IFERROR(N(INDEX('3 Feed regimes'!$B$6:$E$35,D75,MATCH(INDEX('2 Phases'!$F$7:$F$12,B75),'3 Feed regimes'!$B$4:$E$4,0)))*'1 Setup'!$B$5/100,0))</f>
        <v>0</v>
      </c>
      <c r="G75" s="15" t="str">
        <f aca="false">IF($B75="","",G74+F75)</f>
        <v/>
      </c>
      <c r="H75" s="14" t="str">
        <f aca="false">IF($B75="","",(E74+E75)/2)</f>
        <v/>
      </c>
      <c r="I75" s="15" t="str">
        <f aca="false">IF($B75="","",IF(C75="Continuous",N(INDEX('2 Phases'!$G$7:$G$12,B75))*G74,0))</f>
        <v/>
      </c>
      <c r="J75" s="15" t="str">
        <f aca="false">IF($B75="","",IF(C75="Continuous",N(INDEX('2 Phases'!$H$7:$H$12,B75))*G74,0))</f>
        <v/>
      </c>
      <c r="K75" s="15" t="str">
        <f aca="false">IF($B75="","",I75-J75)</f>
        <v/>
      </c>
      <c r="L75" s="14" t="str">
        <f aca="false">IF($B75="","",J75*1000*H75)</f>
        <v/>
      </c>
      <c r="M75" s="15" t="str">
        <f aca="false">IF($B75="","",M74+F75+I75)</f>
        <v/>
      </c>
      <c r="N75" s="15" t="str">
        <f aca="false">IF($B75="","",N74+K75)</f>
        <v/>
      </c>
      <c r="O75" s="15" t="str">
        <f aca="false">IF($B75="","",O74+J75)</f>
        <v/>
      </c>
      <c r="P75" s="14" t="str">
        <f aca="false">IF($B75="","",P74+L75)</f>
        <v/>
      </c>
      <c r="Q75" s="18" t="str">
        <f aca="false">IF(OR($B75="",Q74="",'1 Setup'!$C$10=""),"",IF(AND($C75="Continuous",N(INDEX('2 Phases'!$G$7:$G$12,B75))&gt;0),IF('1 Setup'!$G$10="","",MAX(0,('1 Setup'!$G$10+('1 Setup'!$H$10*'1 Setup'!$C$10*0.00000024*$H75)/N(INDEX('2 Phases'!$G$7:$G$12,B75)))+(((Q74*($G74-$F74)+N('1 Setup'!$F$10)*$F74)/$G74)-('1 Setup'!$G$10+('1 Setup'!$H$10*'1 Setup'!$C$10*0.00000024*$H75)/N(INDEX('2 Phases'!$G$7:$G$12,B75))))*EXP(-N(INDEX('2 Phases'!$G$7:$G$12,B75))))),MAX(0,((Q74*($G74-$F74)+N('1 Setup'!$F$10)*$F74)/$G74)+('1 Setup'!$H$10*'1 Setup'!$C$10*0.00000024*$H75))))</f>
        <v/>
      </c>
      <c r="R75" s="18" t="str">
        <f aca="false">IF(OR($B75="",R74="",'1 Setup'!$C$11=""),"",IF(AND($C75="Continuous",N(INDEX('2 Phases'!$G$7:$G$12,B75))&gt;0),IF('1 Setup'!$G$11="","",MAX(0,('1 Setup'!$G$11+('1 Setup'!$H$11*'1 Setup'!$C$11*0.00000024*$H75)/N(INDEX('2 Phases'!$G$7:$G$12,B75)))+(((R74*($G74-$F74)+N('1 Setup'!$F$11)*$F74)/$G74)-('1 Setup'!$G$11+('1 Setup'!$H$11*'1 Setup'!$C$11*0.00000024*$H75)/N(INDEX('2 Phases'!$G$7:$G$12,B75))))*EXP(-N(INDEX('2 Phases'!$G$7:$G$12,B75))))),MAX(0,((R74*($G74-$F74)+N('1 Setup'!$F$11)*$F74)/$G74)+('1 Setup'!$H$11*'1 Setup'!$C$11*0.00000024*$H75))))</f>
        <v/>
      </c>
      <c r="S75" s="18" t="str">
        <f aca="false">IF(OR($B75="",S74="",'1 Setup'!$C$12=""),"",IF(AND($C75="Continuous",N(INDEX('2 Phases'!$G$7:$G$12,B75))&gt;0),IF('1 Setup'!$G$12="","",MAX(0,('1 Setup'!$G$12+('1 Setup'!$H$12*'1 Setup'!$C$12*0.00000024*$H75)/N(INDEX('2 Phases'!$G$7:$G$12,B75)))+(((S74*($G74-$F74)+N('1 Setup'!$F$12)*$F74)/$G74)-('1 Setup'!$G$12+('1 Setup'!$H$12*'1 Setup'!$C$12*0.00000024*$H75)/N(INDEX('2 Phases'!$G$7:$G$12,B75))))*EXP(-N(INDEX('2 Phases'!$G$7:$G$12,B75))))),MAX(0,((S74*($G74-$F74)+N('1 Setup'!$F$12)*$F74)/$G74)+('1 Setup'!$H$12*'1 Setup'!$C$12*0.00000024*$H75))))</f>
        <v/>
      </c>
      <c r="T75" s="18" t="str">
        <f aca="false">IF(OR($B75="",T74="",'1 Setup'!$C$13=""),"",IF(AND($C75="Continuous",N(INDEX('2 Phases'!$G$7:$G$12,B75))&gt;0),IF('1 Setup'!$G$13="","",MAX(0,('1 Setup'!$G$13+('1 Setup'!$H$13*'1 Setup'!$C$13*0.00000024*$H75)/N(INDEX('2 Phases'!$G$7:$G$12,B75)))+(((T74*($G74-$F74)+N('1 Setup'!$F$13)*$F74)/$G74)-('1 Setup'!$G$13+('1 Setup'!$H$13*'1 Setup'!$C$13*0.00000024*$H75)/N(INDEX('2 Phases'!$G$7:$G$12,B75))))*EXP(-N(INDEX('2 Phases'!$G$7:$G$12,B75))))),MAX(0,((T74*($G74-$F74)+N('1 Setup'!$F$13)*$F74)/$G74)+('1 Setup'!$H$13*'1 Setup'!$C$13*0.00000024*$H75))))</f>
        <v/>
      </c>
      <c r="U75" s="18" t="str">
        <f aca="false">IF(OR($B75="",U74="",'1 Setup'!$C$14=""),"",IF(AND($C75="Continuous",N(INDEX('2 Phases'!$G$7:$G$12,B75))&gt;0),IF('1 Setup'!$G$14="","",MAX(0,('1 Setup'!$G$14+('1 Setup'!$H$14*'1 Setup'!$C$14*0.00000024*$H75)/N(INDEX('2 Phases'!$G$7:$G$12,B75)))+(((U74*($G74-$F74)+N('1 Setup'!$F$14)*$F74)/$G74)-('1 Setup'!$G$14+('1 Setup'!$H$14*'1 Setup'!$C$14*0.00000024*$H75)/N(INDEX('2 Phases'!$G$7:$G$12,B75))))*EXP(-N(INDEX('2 Phases'!$G$7:$G$12,B75))))),MAX(0,((U74*($G74-$F74)+N('1 Setup'!$F$14)*$F74)/$G74)+('1 Setup'!$H$14*'1 Setup'!$C$14*0.00000024*$H75))))</f>
        <v/>
      </c>
      <c r="V75" s="18" t="str">
        <f aca="false">IF($B75="","",E75/1000000*'1 Setup'!$B$7)</f>
        <v/>
      </c>
      <c r="W75" s="18" t="str">
        <f aca="false">IF($B75="","",V75*G75)</f>
        <v/>
      </c>
      <c r="X75" s="18" t="str">
        <f aca="false">IF($B75="","",P75*'1 Setup'!$B$7/1000000000)</f>
        <v/>
      </c>
      <c r="Y75" s="18" t="str">
        <f aca="false">IF($B75="","",L75*'1 Setup'!$B$7/1000000000)</f>
        <v/>
      </c>
    </row>
    <row r="76" customFormat="false" ht="15" hidden="false" customHeight="false" outlineLevel="0" collapsed="false">
      <c r="A76" s="7" t="n">
        <v>70</v>
      </c>
      <c r="B76" s="7" t="str">
        <f aca="false">IF(A76&gt;'2 Phases'!$D$4,"",IF(A76=0,1,COUNTIF('2 Phases'!$M$7:$M$12,"&lt;"&amp;A76)+1))</f>
        <v/>
      </c>
      <c r="C76" s="7" t="str">
        <f aca="false">IF($B76="","",INDEX('2 Phases'!$C$7:$C$12,B76))</f>
        <v/>
      </c>
      <c r="D76" s="7" t="str">
        <f aca="false">IF($B76="","",A76-INDEX('2 Phases'!$L$7:$L$12,B76))</f>
        <v/>
      </c>
      <c r="E76" s="14" t="str">
        <f aca="false">IF($B76="","",IFERROR(IF(C76="Continuous",INDEX('2 Phases'!$N$7:$N$12,B76)*EXP((INDEX('2 Phases'!$P$7:$P$12,B76)-N(INDEX('2 Phases'!$H$7:$H$12,B76)))*D76),INDEX('2 Phases'!$N$7:$N$12,B76)*(IF(INDEX('2 Phases'!$E$7:$E$12,B76)="",INDEX('2 Phases'!$N$7:$N$12,B76),INDEX('2 Phases'!$E$7:$E$12,B76))/INDEX('2 Phases'!$N$7:$N$12,B76))^(D76/INDEX('2 Phases'!$D$7:$D$12,B76))),""))</f>
        <v/>
      </c>
      <c r="F76" s="15" t="n">
        <f aca="false">IF(OR($B76="",C76&lt;&gt;"Fed-batch",D76=0),0,IFERROR(N(INDEX('3 Feed regimes'!$B$6:$E$35,D76,MATCH(INDEX('2 Phases'!$F$7:$F$12,B76),'3 Feed regimes'!$B$4:$E$4,0)))*'1 Setup'!$B$5/100,0))</f>
        <v>0</v>
      </c>
      <c r="G76" s="15" t="str">
        <f aca="false">IF($B76="","",G75+F76)</f>
        <v/>
      </c>
      <c r="H76" s="14" t="str">
        <f aca="false">IF($B76="","",(E75+E76)/2)</f>
        <v/>
      </c>
      <c r="I76" s="15" t="str">
        <f aca="false">IF($B76="","",IF(C76="Continuous",N(INDEX('2 Phases'!$G$7:$G$12,B76))*G75,0))</f>
        <v/>
      </c>
      <c r="J76" s="15" t="str">
        <f aca="false">IF($B76="","",IF(C76="Continuous",N(INDEX('2 Phases'!$H$7:$H$12,B76))*G75,0))</f>
        <v/>
      </c>
      <c r="K76" s="15" t="str">
        <f aca="false">IF($B76="","",I76-J76)</f>
        <v/>
      </c>
      <c r="L76" s="14" t="str">
        <f aca="false">IF($B76="","",J76*1000*H76)</f>
        <v/>
      </c>
      <c r="M76" s="15" t="str">
        <f aca="false">IF($B76="","",M75+F76+I76)</f>
        <v/>
      </c>
      <c r="N76" s="15" t="str">
        <f aca="false">IF($B76="","",N75+K76)</f>
        <v/>
      </c>
      <c r="O76" s="15" t="str">
        <f aca="false">IF($B76="","",O75+J76)</f>
        <v/>
      </c>
      <c r="P76" s="14" t="str">
        <f aca="false">IF($B76="","",P75+L76)</f>
        <v/>
      </c>
      <c r="Q76" s="18" t="str">
        <f aca="false">IF(OR($B76="",Q75="",'1 Setup'!$C$10=""),"",IF(AND($C76="Continuous",N(INDEX('2 Phases'!$G$7:$G$12,B76))&gt;0),IF('1 Setup'!$G$10="","",MAX(0,('1 Setup'!$G$10+('1 Setup'!$H$10*'1 Setup'!$C$10*0.00000024*$H76)/N(INDEX('2 Phases'!$G$7:$G$12,B76)))+(((Q75*($G75-$F75)+N('1 Setup'!$F$10)*$F75)/$G75)-('1 Setup'!$G$10+('1 Setup'!$H$10*'1 Setup'!$C$10*0.00000024*$H76)/N(INDEX('2 Phases'!$G$7:$G$12,B76))))*EXP(-N(INDEX('2 Phases'!$G$7:$G$12,B76))))),MAX(0,((Q75*($G75-$F75)+N('1 Setup'!$F$10)*$F75)/$G75)+('1 Setup'!$H$10*'1 Setup'!$C$10*0.00000024*$H76))))</f>
        <v/>
      </c>
      <c r="R76" s="18" t="str">
        <f aca="false">IF(OR($B76="",R75="",'1 Setup'!$C$11=""),"",IF(AND($C76="Continuous",N(INDEX('2 Phases'!$G$7:$G$12,B76))&gt;0),IF('1 Setup'!$G$11="","",MAX(0,('1 Setup'!$G$11+('1 Setup'!$H$11*'1 Setup'!$C$11*0.00000024*$H76)/N(INDEX('2 Phases'!$G$7:$G$12,B76)))+(((R75*($G75-$F75)+N('1 Setup'!$F$11)*$F75)/$G75)-('1 Setup'!$G$11+('1 Setup'!$H$11*'1 Setup'!$C$11*0.00000024*$H76)/N(INDEX('2 Phases'!$G$7:$G$12,B76))))*EXP(-N(INDEX('2 Phases'!$G$7:$G$12,B76))))),MAX(0,((R75*($G75-$F75)+N('1 Setup'!$F$11)*$F75)/$G75)+('1 Setup'!$H$11*'1 Setup'!$C$11*0.00000024*$H76))))</f>
        <v/>
      </c>
      <c r="S76" s="18" t="str">
        <f aca="false">IF(OR($B76="",S75="",'1 Setup'!$C$12=""),"",IF(AND($C76="Continuous",N(INDEX('2 Phases'!$G$7:$G$12,B76))&gt;0),IF('1 Setup'!$G$12="","",MAX(0,('1 Setup'!$G$12+('1 Setup'!$H$12*'1 Setup'!$C$12*0.00000024*$H76)/N(INDEX('2 Phases'!$G$7:$G$12,B76)))+(((S75*($G75-$F75)+N('1 Setup'!$F$12)*$F75)/$G75)-('1 Setup'!$G$12+('1 Setup'!$H$12*'1 Setup'!$C$12*0.00000024*$H76)/N(INDEX('2 Phases'!$G$7:$G$12,B76))))*EXP(-N(INDEX('2 Phases'!$G$7:$G$12,B76))))),MAX(0,((S75*($G75-$F75)+N('1 Setup'!$F$12)*$F75)/$G75)+('1 Setup'!$H$12*'1 Setup'!$C$12*0.00000024*$H76))))</f>
        <v/>
      </c>
      <c r="T76" s="18" t="str">
        <f aca="false">IF(OR($B76="",T75="",'1 Setup'!$C$13=""),"",IF(AND($C76="Continuous",N(INDEX('2 Phases'!$G$7:$G$12,B76))&gt;0),IF('1 Setup'!$G$13="","",MAX(0,('1 Setup'!$G$13+('1 Setup'!$H$13*'1 Setup'!$C$13*0.00000024*$H76)/N(INDEX('2 Phases'!$G$7:$G$12,B76)))+(((T75*($G75-$F75)+N('1 Setup'!$F$13)*$F75)/$G75)-('1 Setup'!$G$13+('1 Setup'!$H$13*'1 Setup'!$C$13*0.00000024*$H76)/N(INDEX('2 Phases'!$G$7:$G$12,B76))))*EXP(-N(INDEX('2 Phases'!$G$7:$G$12,B76))))),MAX(0,((T75*($G75-$F75)+N('1 Setup'!$F$13)*$F75)/$G75)+('1 Setup'!$H$13*'1 Setup'!$C$13*0.00000024*$H76))))</f>
        <v/>
      </c>
      <c r="U76" s="18" t="str">
        <f aca="false">IF(OR($B76="",U75="",'1 Setup'!$C$14=""),"",IF(AND($C76="Continuous",N(INDEX('2 Phases'!$G$7:$G$12,B76))&gt;0),IF('1 Setup'!$G$14="","",MAX(0,('1 Setup'!$G$14+('1 Setup'!$H$14*'1 Setup'!$C$14*0.00000024*$H76)/N(INDEX('2 Phases'!$G$7:$G$12,B76)))+(((U75*($G75-$F75)+N('1 Setup'!$F$14)*$F75)/$G75)-('1 Setup'!$G$14+('1 Setup'!$H$14*'1 Setup'!$C$14*0.00000024*$H76)/N(INDEX('2 Phases'!$G$7:$G$12,B76))))*EXP(-N(INDEX('2 Phases'!$G$7:$G$12,B76))))),MAX(0,((U75*($G75-$F75)+N('1 Setup'!$F$14)*$F75)/$G75)+('1 Setup'!$H$14*'1 Setup'!$C$14*0.00000024*$H76))))</f>
        <v/>
      </c>
      <c r="V76" s="18" t="str">
        <f aca="false">IF($B76="","",E76/1000000*'1 Setup'!$B$7)</f>
        <v/>
      </c>
      <c r="W76" s="18" t="str">
        <f aca="false">IF($B76="","",V76*G76)</f>
        <v/>
      </c>
      <c r="X76" s="18" t="str">
        <f aca="false">IF($B76="","",P76*'1 Setup'!$B$7/1000000000)</f>
        <v/>
      </c>
      <c r="Y76" s="18" t="str">
        <f aca="false">IF($B76="","",L76*'1 Setup'!$B$7/1000000000)</f>
        <v/>
      </c>
    </row>
    <row r="77" customFormat="false" ht="15" hidden="false" customHeight="false" outlineLevel="0" collapsed="false">
      <c r="A77" s="7" t="n">
        <v>71</v>
      </c>
      <c r="B77" s="7" t="str">
        <f aca="false">IF(A77&gt;'2 Phases'!$D$4,"",IF(A77=0,1,COUNTIF('2 Phases'!$M$7:$M$12,"&lt;"&amp;A77)+1))</f>
        <v/>
      </c>
      <c r="C77" s="7" t="str">
        <f aca="false">IF($B77="","",INDEX('2 Phases'!$C$7:$C$12,B77))</f>
        <v/>
      </c>
      <c r="D77" s="7" t="str">
        <f aca="false">IF($B77="","",A77-INDEX('2 Phases'!$L$7:$L$12,B77))</f>
        <v/>
      </c>
      <c r="E77" s="14" t="str">
        <f aca="false">IF($B77="","",IFERROR(IF(C77="Continuous",INDEX('2 Phases'!$N$7:$N$12,B77)*EXP((INDEX('2 Phases'!$P$7:$P$12,B77)-N(INDEX('2 Phases'!$H$7:$H$12,B77)))*D77),INDEX('2 Phases'!$N$7:$N$12,B77)*(IF(INDEX('2 Phases'!$E$7:$E$12,B77)="",INDEX('2 Phases'!$N$7:$N$12,B77),INDEX('2 Phases'!$E$7:$E$12,B77))/INDEX('2 Phases'!$N$7:$N$12,B77))^(D77/INDEX('2 Phases'!$D$7:$D$12,B77))),""))</f>
        <v/>
      </c>
      <c r="F77" s="15" t="n">
        <f aca="false">IF(OR($B77="",C77&lt;&gt;"Fed-batch",D77=0),0,IFERROR(N(INDEX('3 Feed regimes'!$B$6:$E$35,D77,MATCH(INDEX('2 Phases'!$F$7:$F$12,B77),'3 Feed regimes'!$B$4:$E$4,0)))*'1 Setup'!$B$5/100,0))</f>
        <v>0</v>
      </c>
      <c r="G77" s="15" t="str">
        <f aca="false">IF($B77="","",G76+F77)</f>
        <v/>
      </c>
      <c r="H77" s="14" t="str">
        <f aca="false">IF($B77="","",(E76+E77)/2)</f>
        <v/>
      </c>
      <c r="I77" s="15" t="str">
        <f aca="false">IF($B77="","",IF(C77="Continuous",N(INDEX('2 Phases'!$G$7:$G$12,B77))*G76,0))</f>
        <v/>
      </c>
      <c r="J77" s="15" t="str">
        <f aca="false">IF($B77="","",IF(C77="Continuous",N(INDEX('2 Phases'!$H$7:$H$12,B77))*G76,0))</f>
        <v/>
      </c>
      <c r="K77" s="15" t="str">
        <f aca="false">IF($B77="","",I77-J77)</f>
        <v/>
      </c>
      <c r="L77" s="14" t="str">
        <f aca="false">IF($B77="","",J77*1000*H77)</f>
        <v/>
      </c>
      <c r="M77" s="15" t="str">
        <f aca="false">IF($B77="","",M76+F77+I77)</f>
        <v/>
      </c>
      <c r="N77" s="15" t="str">
        <f aca="false">IF($B77="","",N76+K77)</f>
        <v/>
      </c>
      <c r="O77" s="15" t="str">
        <f aca="false">IF($B77="","",O76+J77)</f>
        <v/>
      </c>
      <c r="P77" s="14" t="str">
        <f aca="false">IF($B77="","",P76+L77)</f>
        <v/>
      </c>
      <c r="Q77" s="18" t="str">
        <f aca="false">IF(OR($B77="",Q76="",'1 Setup'!$C$10=""),"",IF(AND($C77="Continuous",N(INDEX('2 Phases'!$G$7:$G$12,B77))&gt;0),IF('1 Setup'!$G$10="","",MAX(0,('1 Setup'!$G$10+('1 Setup'!$H$10*'1 Setup'!$C$10*0.00000024*$H77)/N(INDEX('2 Phases'!$G$7:$G$12,B77)))+(((Q76*($G76-$F76)+N('1 Setup'!$F$10)*$F76)/$G76)-('1 Setup'!$G$10+('1 Setup'!$H$10*'1 Setup'!$C$10*0.00000024*$H77)/N(INDEX('2 Phases'!$G$7:$G$12,B77))))*EXP(-N(INDEX('2 Phases'!$G$7:$G$12,B77))))),MAX(0,((Q76*($G76-$F76)+N('1 Setup'!$F$10)*$F76)/$G76)+('1 Setup'!$H$10*'1 Setup'!$C$10*0.00000024*$H77))))</f>
        <v/>
      </c>
      <c r="R77" s="18" t="str">
        <f aca="false">IF(OR($B77="",R76="",'1 Setup'!$C$11=""),"",IF(AND($C77="Continuous",N(INDEX('2 Phases'!$G$7:$G$12,B77))&gt;0),IF('1 Setup'!$G$11="","",MAX(0,('1 Setup'!$G$11+('1 Setup'!$H$11*'1 Setup'!$C$11*0.00000024*$H77)/N(INDEX('2 Phases'!$G$7:$G$12,B77)))+(((R76*($G76-$F76)+N('1 Setup'!$F$11)*$F76)/$G76)-('1 Setup'!$G$11+('1 Setup'!$H$11*'1 Setup'!$C$11*0.00000024*$H77)/N(INDEX('2 Phases'!$G$7:$G$12,B77))))*EXP(-N(INDEX('2 Phases'!$G$7:$G$12,B77))))),MAX(0,((R76*($G76-$F76)+N('1 Setup'!$F$11)*$F76)/$G76)+('1 Setup'!$H$11*'1 Setup'!$C$11*0.00000024*$H77))))</f>
        <v/>
      </c>
      <c r="S77" s="18" t="str">
        <f aca="false">IF(OR($B77="",S76="",'1 Setup'!$C$12=""),"",IF(AND($C77="Continuous",N(INDEX('2 Phases'!$G$7:$G$12,B77))&gt;0),IF('1 Setup'!$G$12="","",MAX(0,('1 Setup'!$G$12+('1 Setup'!$H$12*'1 Setup'!$C$12*0.00000024*$H77)/N(INDEX('2 Phases'!$G$7:$G$12,B77)))+(((S76*($G76-$F76)+N('1 Setup'!$F$12)*$F76)/$G76)-('1 Setup'!$G$12+('1 Setup'!$H$12*'1 Setup'!$C$12*0.00000024*$H77)/N(INDEX('2 Phases'!$G$7:$G$12,B77))))*EXP(-N(INDEX('2 Phases'!$G$7:$G$12,B77))))),MAX(0,((S76*($G76-$F76)+N('1 Setup'!$F$12)*$F76)/$G76)+('1 Setup'!$H$12*'1 Setup'!$C$12*0.00000024*$H77))))</f>
        <v/>
      </c>
      <c r="T77" s="18" t="str">
        <f aca="false">IF(OR($B77="",T76="",'1 Setup'!$C$13=""),"",IF(AND($C77="Continuous",N(INDEX('2 Phases'!$G$7:$G$12,B77))&gt;0),IF('1 Setup'!$G$13="","",MAX(0,('1 Setup'!$G$13+('1 Setup'!$H$13*'1 Setup'!$C$13*0.00000024*$H77)/N(INDEX('2 Phases'!$G$7:$G$12,B77)))+(((T76*($G76-$F76)+N('1 Setup'!$F$13)*$F76)/$G76)-('1 Setup'!$G$13+('1 Setup'!$H$13*'1 Setup'!$C$13*0.00000024*$H77)/N(INDEX('2 Phases'!$G$7:$G$12,B77))))*EXP(-N(INDEX('2 Phases'!$G$7:$G$12,B77))))),MAX(0,((T76*($G76-$F76)+N('1 Setup'!$F$13)*$F76)/$G76)+('1 Setup'!$H$13*'1 Setup'!$C$13*0.00000024*$H77))))</f>
        <v/>
      </c>
      <c r="U77" s="18" t="str">
        <f aca="false">IF(OR($B77="",U76="",'1 Setup'!$C$14=""),"",IF(AND($C77="Continuous",N(INDEX('2 Phases'!$G$7:$G$12,B77))&gt;0),IF('1 Setup'!$G$14="","",MAX(0,('1 Setup'!$G$14+('1 Setup'!$H$14*'1 Setup'!$C$14*0.00000024*$H77)/N(INDEX('2 Phases'!$G$7:$G$12,B77)))+(((U76*($G76-$F76)+N('1 Setup'!$F$14)*$F76)/$G76)-('1 Setup'!$G$14+('1 Setup'!$H$14*'1 Setup'!$C$14*0.00000024*$H77)/N(INDEX('2 Phases'!$G$7:$G$12,B77))))*EXP(-N(INDEX('2 Phases'!$G$7:$G$12,B77))))),MAX(0,((U76*($G76-$F76)+N('1 Setup'!$F$14)*$F76)/$G76)+('1 Setup'!$H$14*'1 Setup'!$C$14*0.00000024*$H77))))</f>
        <v/>
      </c>
      <c r="V77" s="18" t="str">
        <f aca="false">IF($B77="","",E77/1000000*'1 Setup'!$B$7)</f>
        <v/>
      </c>
      <c r="W77" s="18" t="str">
        <f aca="false">IF($B77="","",V77*G77)</f>
        <v/>
      </c>
      <c r="X77" s="18" t="str">
        <f aca="false">IF($B77="","",P77*'1 Setup'!$B$7/1000000000)</f>
        <v/>
      </c>
      <c r="Y77" s="18" t="str">
        <f aca="false">IF($B77="","",L77*'1 Setup'!$B$7/1000000000)</f>
        <v/>
      </c>
    </row>
    <row r="78" customFormat="false" ht="15" hidden="false" customHeight="false" outlineLevel="0" collapsed="false">
      <c r="A78" s="7" t="n">
        <v>72</v>
      </c>
      <c r="B78" s="7" t="str">
        <f aca="false">IF(A78&gt;'2 Phases'!$D$4,"",IF(A78=0,1,COUNTIF('2 Phases'!$M$7:$M$12,"&lt;"&amp;A78)+1))</f>
        <v/>
      </c>
      <c r="C78" s="7" t="str">
        <f aca="false">IF($B78="","",INDEX('2 Phases'!$C$7:$C$12,B78))</f>
        <v/>
      </c>
      <c r="D78" s="7" t="str">
        <f aca="false">IF($B78="","",A78-INDEX('2 Phases'!$L$7:$L$12,B78))</f>
        <v/>
      </c>
      <c r="E78" s="14" t="str">
        <f aca="false">IF($B78="","",IFERROR(IF(C78="Continuous",INDEX('2 Phases'!$N$7:$N$12,B78)*EXP((INDEX('2 Phases'!$P$7:$P$12,B78)-N(INDEX('2 Phases'!$H$7:$H$12,B78)))*D78),INDEX('2 Phases'!$N$7:$N$12,B78)*(IF(INDEX('2 Phases'!$E$7:$E$12,B78)="",INDEX('2 Phases'!$N$7:$N$12,B78),INDEX('2 Phases'!$E$7:$E$12,B78))/INDEX('2 Phases'!$N$7:$N$12,B78))^(D78/INDEX('2 Phases'!$D$7:$D$12,B78))),""))</f>
        <v/>
      </c>
      <c r="F78" s="15" t="n">
        <f aca="false">IF(OR($B78="",C78&lt;&gt;"Fed-batch",D78=0),0,IFERROR(N(INDEX('3 Feed regimes'!$B$6:$E$35,D78,MATCH(INDEX('2 Phases'!$F$7:$F$12,B78),'3 Feed regimes'!$B$4:$E$4,0)))*'1 Setup'!$B$5/100,0))</f>
        <v>0</v>
      </c>
      <c r="G78" s="15" t="str">
        <f aca="false">IF($B78="","",G77+F78)</f>
        <v/>
      </c>
      <c r="H78" s="14" t="str">
        <f aca="false">IF($B78="","",(E77+E78)/2)</f>
        <v/>
      </c>
      <c r="I78" s="15" t="str">
        <f aca="false">IF($B78="","",IF(C78="Continuous",N(INDEX('2 Phases'!$G$7:$G$12,B78))*G77,0))</f>
        <v/>
      </c>
      <c r="J78" s="15" t="str">
        <f aca="false">IF($B78="","",IF(C78="Continuous",N(INDEX('2 Phases'!$H$7:$H$12,B78))*G77,0))</f>
        <v/>
      </c>
      <c r="K78" s="15" t="str">
        <f aca="false">IF($B78="","",I78-J78)</f>
        <v/>
      </c>
      <c r="L78" s="14" t="str">
        <f aca="false">IF($B78="","",J78*1000*H78)</f>
        <v/>
      </c>
      <c r="M78" s="15" t="str">
        <f aca="false">IF($B78="","",M77+F78+I78)</f>
        <v/>
      </c>
      <c r="N78" s="15" t="str">
        <f aca="false">IF($B78="","",N77+K78)</f>
        <v/>
      </c>
      <c r="O78" s="15" t="str">
        <f aca="false">IF($B78="","",O77+J78)</f>
        <v/>
      </c>
      <c r="P78" s="14" t="str">
        <f aca="false">IF($B78="","",P77+L78)</f>
        <v/>
      </c>
      <c r="Q78" s="18" t="str">
        <f aca="false">IF(OR($B78="",Q77="",'1 Setup'!$C$10=""),"",IF(AND($C78="Continuous",N(INDEX('2 Phases'!$G$7:$G$12,B78))&gt;0),IF('1 Setup'!$G$10="","",MAX(0,('1 Setup'!$G$10+('1 Setup'!$H$10*'1 Setup'!$C$10*0.00000024*$H78)/N(INDEX('2 Phases'!$G$7:$G$12,B78)))+(((Q77*($G77-$F77)+N('1 Setup'!$F$10)*$F77)/$G77)-('1 Setup'!$G$10+('1 Setup'!$H$10*'1 Setup'!$C$10*0.00000024*$H78)/N(INDEX('2 Phases'!$G$7:$G$12,B78))))*EXP(-N(INDEX('2 Phases'!$G$7:$G$12,B78))))),MAX(0,((Q77*($G77-$F77)+N('1 Setup'!$F$10)*$F77)/$G77)+('1 Setup'!$H$10*'1 Setup'!$C$10*0.00000024*$H78))))</f>
        <v/>
      </c>
      <c r="R78" s="18" t="str">
        <f aca="false">IF(OR($B78="",R77="",'1 Setup'!$C$11=""),"",IF(AND($C78="Continuous",N(INDEX('2 Phases'!$G$7:$G$12,B78))&gt;0),IF('1 Setup'!$G$11="","",MAX(0,('1 Setup'!$G$11+('1 Setup'!$H$11*'1 Setup'!$C$11*0.00000024*$H78)/N(INDEX('2 Phases'!$G$7:$G$12,B78)))+(((R77*($G77-$F77)+N('1 Setup'!$F$11)*$F77)/$G77)-('1 Setup'!$G$11+('1 Setup'!$H$11*'1 Setup'!$C$11*0.00000024*$H78)/N(INDEX('2 Phases'!$G$7:$G$12,B78))))*EXP(-N(INDEX('2 Phases'!$G$7:$G$12,B78))))),MAX(0,((R77*($G77-$F77)+N('1 Setup'!$F$11)*$F77)/$G77)+('1 Setup'!$H$11*'1 Setup'!$C$11*0.00000024*$H78))))</f>
        <v/>
      </c>
      <c r="S78" s="18" t="str">
        <f aca="false">IF(OR($B78="",S77="",'1 Setup'!$C$12=""),"",IF(AND($C78="Continuous",N(INDEX('2 Phases'!$G$7:$G$12,B78))&gt;0),IF('1 Setup'!$G$12="","",MAX(0,('1 Setup'!$G$12+('1 Setup'!$H$12*'1 Setup'!$C$12*0.00000024*$H78)/N(INDEX('2 Phases'!$G$7:$G$12,B78)))+(((S77*($G77-$F77)+N('1 Setup'!$F$12)*$F77)/$G77)-('1 Setup'!$G$12+('1 Setup'!$H$12*'1 Setup'!$C$12*0.00000024*$H78)/N(INDEX('2 Phases'!$G$7:$G$12,B78))))*EXP(-N(INDEX('2 Phases'!$G$7:$G$12,B78))))),MAX(0,((S77*($G77-$F77)+N('1 Setup'!$F$12)*$F77)/$G77)+('1 Setup'!$H$12*'1 Setup'!$C$12*0.00000024*$H78))))</f>
        <v/>
      </c>
      <c r="T78" s="18" t="str">
        <f aca="false">IF(OR($B78="",T77="",'1 Setup'!$C$13=""),"",IF(AND($C78="Continuous",N(INDEX('2 Phases'!$G$7:$G$12,B78))&gt;0),IF('1 Setup'!$G$13="","",MAX(0,('1 Setup'!$G$13+('1 Setup'!$H$13*'1 Setup'!$C$13*0.00000024*$H78)/N(INDEX('2 Phases'!$G$7:$G$12,B78)))+(((T77*($G77-$F77)+N('1 Setup'!$F$13)*$F77)/$G77)-('1 Setup'!$G$13+('1 Setup'!$H$13*'1 Setup'!$C$13*0.00000024*$H78)/N(INDEX('2 Phases'!$G$7:$G$12,B78))))*EXP(-N(INDEX('2 Phases'!$G$7:$G$12,B78))))),MAX(0,((T77*($G77-$F77)+N('1 Setup'!$F$13)*$F77)/$G77)+('1 Setup'!$H$13*'1 Setup'!$C$13*0.00000024*$H78))))</f>
        <v/>
      </c>
      <c r="U78" s="18" t="str">
        <f aca="false">IF(OR($B78="",U77="",'1 Setup'!$C$14=""),"",IF(AND($C78="Continuous",N(INDEX('2 Phases'!$G$7:$G$12,B78))&gt;0),IF('1 Setup'!$G$14="","",MAX(0,('1 Setup'!$G$14+('1 Setup'!$H$14*'1 Setup'!$C$14*0.00000024*$H78)/N(INDEX('2 Phases'!$G$7:$G$12,B78)))+(((U77*($G77-$F77)+N('1 Setup'!$F$14)*$F77)/$G77)-('1 Setup'!$G$14+('1 Setup'!$H$14*'1 Setup'!$C$14*0.00000024*$H78)/N(INDEX('2 Phases'!$G$7:$G$12,B78))))*EXP(-N(INDEX('2 Phases'!$G$7:$G$12,B78))))),MAX(0,((U77*($G77-$F77)+N('1 Setup'!$F$14)*$F77)/$G77)+('1 Setup'!$H$14*'1 Setup'!$C$14*0.00000024*$H78))))</f>
        <v/>
      </c>
      <c r="V78" s="18" t="str">
        <f aca="false">IF($B78="","",E78/1000000*'1 Setup'!$B$7)</f>
        <v/>
      </c>
      <c r="W78" s="18" t="str">
        <f aca="false">IF($B78="","",V78*G78)</f>
        <v/>
      </c>
      <c r="X78" s="18" t="str">
        <f aca="false">IF($B78="","",P78*'1 Setup'!$B$7/1000000000)</f>
        <v/>
      </c>
      <c r="Y78" s="18" t="str">
        <f aca="false">IF($B78="","",L78*'1 Setup'!$B$7/1000000000)</f>
        <v/>
      </c>
    </row>
    <row r="79" customFormat="false" ht="15" hidden="false" customHeight="false" outlineLevel="0" collapsed="false">
      <c r="A79" s="7" t="n">
        <v>73</v>
      </c>
      <c r="B79" s="7" t="str">
        <f aca="false">IF(A79&gt;'2 Phases'!$D$4,"",IF(A79=0,1,COUNTIF('2 Phases'!$M$7:$M$12,"&lt;"&amp;A79)+1))</f>
        <v/>
      </c>
      <c r="C79" s="7" t="str">
        <f aca="false">IF($B79="","",INDEX('2 Phases'!$C$7:$C$12,B79))</f>
        <v/>
      </c>
      <c r="D79" s="7" t="str">
        <f aca="false">IF($B79="","",A79-INDEX('2 Phases'!$L$7:$L$12,B79))</f>
        <v/>
      </c>
      <c r="E79" s="14" t="str">
        <f aca="false">IF($B79="","",IFERROR(IF(C79="Continuous",INDEX('2 Phases'!$N$7:$N$12,B79)*EXP((INDEX('2 Phases'!$P$7:$P$12,B79)-N(INDEX('2 Phases'!$H$7:$H$12,B79)))*D79),INDEX('2 Phases'!$N$7:$N$12,B79)*(IF(INDEX('2 Phases'!$E$7:$E$12,B79)="",INDEX('2 Phases'!$N$7:$N$12,B79),INDEX('2 Phases'!$E$7:$E$12,B79))/INDEX('2 Phases'!$N$7:$N$12,B79))^(D79/INDEX('2 Phases'!$D$7:$D$12,B79))),""))</f>
        <v/>
      </c>
      <c r="F79" s="15" t="n">
        <f aca="false">IF(OR($B79="",C79&lt;&gt;"Fed-batch",D79=0),0,IFERROR(N(INDEX('3 Feed regimes'!$B$6:$E$35,D79,MATCH(INDEX('2 Phases'!$F$7:$F$12,B79),'3 Feed regimes'!$B$4:$E$4,0)))*'1 Setup'!$B$5/100,0))</f>
        <v>0</v>
      </c>
      <c r="G79" s="15" t="str">
        <f aca="false">IF($B79="","",G78+F79)</f>
        <v/>
      </c>
      <c r="H79" s="14" t="str">
        <f aca="false">IF($B79="","",(E78+E79)/2)</f>
        <v/>
      </c>
      <c r="I79" s="15" t="str">
        <f aca="false">IF($B79="","",IF(C79="Continuous",N(INDEX('2 Phases'!$G$7:$G$12,B79))*G78,0))</f>
        <v/>
      </c>
      <c r="J79" s="15" t="str">
        <f aca="false">IF($B79="","",IF(C79="Continuous",N(INDEX('2 Phases'!$H$7:$H$12,B79))*G78,0))</f>
        <v/>
      </c>
      <c r="K79" s="15" t="str">
        <f aca="false">IF($B79="","",I79-J79)</f>
        <v/>
      </c>
      <c r="L79" s="14" t="str">
        <f aca="false">IF($B79="","",J79*1000*H79)</f>
        <v/>
      </c>
      <c r="M79" s="15" t="str">
        <f aca="false">IF($B79="","",M78+F79+I79)</f>
        <v/>
      </c>
      <c r="N79" s="15" t="str">
        <f aca="false">IF($B79="","",N78+K79)</f>
        <v/>
      </c>
      <c r="O79" s="15" t="str">
        <f aca="false">IF($B79="","",O78+J79)</f>
        <v/>
      </c>
      <c r="P79" s="14" t="str">
        <f aca="false">IF($B79="","",P78+L79)</f>
        <v/>
      </c>
      <c r="Q79" s="18" t="str">
        <f aca="false">IF(OR($B79="",Q78="",'1 Setup'!$C$10=""),"",IF(AND($C79="Continuous",N(INDEX('2 Phases'!$G$7:$G$12,B79))&gt;0),IF('1 Setup'!$G$10="","",MAX(0,('1 Setup'!$G$10+('1 Setup'!$H$10*'1 Setup'!$C$10*0.00000024*$H79)/N(INDEX('2 Phases'!$G$7:$G$12,B79)))+(((Q78*($G78-$F78)+N('1 Setup'!$F$10)*$F78)/$G78)-('1 Setup'!$G$10+('1 Setup'!$H$10*'1 Setup'!$C$10*0.00000024*$H79)/N(INDEX('2 Phases'!$G$7:$G$12,B79))))*EXP(-N(INDEX('2 Phases'!$G$7:$G$12,B79))))),MAX(0,((Q78*($G78-$F78)+N('1 Setup'!$F$10)*$F78)/$G78)+('1 Setup'!$H$10*'1 Setup'!$C$10*0.00000024*$H79))))</f>
        <v/>
      </c>
      <c r="R79" s="18" t="str">
        <f aca="false">IF(OR($B79="",R78="",'1 Setup'!$C$11=""),"",IF(AND($C79="Continuous",N(INDEX('2 Phases'!$G$7:$G$12,B79))&gt;0),IF('1 Setup'!$G$11="","",MAX(0,('1 Setup'!$G$11+('1 Setup'!$H$11*'1 Setup'!$C$11*0.00000024*$H79)/N(INDEX('2 Phases'!$G$7:$G$12,B79)))+(((R78*($G78-$F78)+N('1 Setup'!$F$11)*$F78)/$G78)-('1 Setup'!$G$11+('1 Setup'!$H$11*'1 Setup'!$C$11*0.00000024*$H79)/N(INDEX('2 Phases'!$G$7:$G$12,B79))))*EXP(-N(INDEX('2 Phases'!$G$7:$G$12,B79))))),MAX(0,((R78*($G78-$F78)+N('1 Setup'!$F$11)*$F78)/$G78)+('1 Setup'!$H$11*'1 Setup'!$C$11*0.00000024*$H79))))</f>
        <v/>
      </c>
      <c r="S79" s="18" t="str">
        <f aca="false">IF(OR($B79="",S78="",'1 Setup'!$C$12=""),"",IF(AND($C79="Continuous",N(INDEX('2 Phases'!$G$7:$G$12,B79))&gt;0),IF('1 Setup'!$G$12="","",MAX(0,('1 Setup'!$G$12+('1 Setup'!$H$12*'1 Setup'!$C$12*0.00000024*$H79)/N(INDEX('2 Phases'!$G$7:$G$12,B79)))+(((S78*($G78-$F78)+N('1 Setup'!$F$12)*$F78)/$G78)-('1 Setup'!$G$12+('1 Setup'!$H$12*'1 Setup'!$C$12*0.00000024*$H79)/N(INDEX('2 Phases'!$G$7:$G$12,B79))))*EXP(-N(INDEX('2 Phases'!$G$7:$G$12,B79))))),MAX(0,((S78*($G78-$F78)+N('1 Setup'!$F$12)*$F78)/$G78)+('1 Setup'!$H$12*'1 Setup'!$C$12*0.00000024*$H79))))</f>
        <v/>
      </c>
      <c r="T79" s="18" t="str">
        <f aca="false">IF(OR($B79="",T78="",'1 Setup'!$C$13=""),"",IF(AND($C79="Continuous",N(INDEX('2 Phases'!$G$7:$G$12,B79))&gt;0),IF('1 Setup'!$G$13="","",MAX(0,('1 Setup'!$G$13+('1 Setup'!$H$13*'1 Setup'!$C$13*0.00000024*$H79)/N(INDEX('2 Phases'!$G$7:$G$12,B79)))+(((T78*($G78-$F78)+N('1 Setup'!$F$13)*$F78)/$G78)-('1 Setup'!$G$13+('1 Setup'!$H$13*'1 Setup'!$C$13*0.00000024*$H79)/N(INDEX('2 Phases'!$G$7:$G$12,B79))))*EXP(-N(INDEX('2 Phases'!$G$7:$G$12,B79))))),MAX(0,((T78*($G78-$F78)+N('1 Setup'!$F$13)*$F78)/$G78)+('1 Setup'!$H$13*'1 Setup'!$C$13*0.00000024*$H79))))</f>
        <v/>
      </c>
      <c r="U79" s="18" t="str">
        <f aca="false">IF(OR($B79="",U78="",'1 Setup'!$C$14=""),"",IF(AND($C79="Continuous",N(INDEX('2 Phases'!$G$7:$G$12,B79))&gt;0),IF('1 Setup'!$G$14="","",MAX(0,('1 Setup'!$G$14+('1 Setup'!$H$14*'1 Setup'!$C$14*0.00000024*$H79)/N(INDEX('2 Phases'!$G$7:$G$12,B79)))+(((U78*($G78-$F78)+N('1 Setup'!$F$14)*$F78)/$G78)-('1 Setup'!$G$14+('1 Setup'!$H$14*'1 Setup'!$C$14*0.00000024*$H79)/N(INDEX('2 Phases'!$G$7:$G$12,B79))))*EXP(-N(INDEX('2 Phases'!$G$7:$G$12,B79))))),MAX(0,((U78*($G78-$F78)+N('1 Setup'!$F$14)*$F78)/$G78)+('1 Setup'!$H$14*'1 Setup'!$C$14*0.00000024*$H79))))</f>
        <v/>
      </c>
      <c r="V79" s="18" t="str">
        <f aca="false">IF($B79="","",E79/1000000*'1 Setup'!$B$7)</f>
        <v/>
      </c>
      <c r="W79" s="18" t="str">
        <f aca="false">IF($B79="","",V79*G79)</f>
        <v/>
      </c>
      <c r="X79" s="18" t="str">
        <f aca="false">IF($B79="","",P79*'1 Setup'!$B$7/1000000000)</f>
        <v/>
      </c>
      <c r="Y79" s="18" t="str">
        <f aca="false">IF($B79="","",L79*'1 Setup'!$B$7/1000000000)</f>
        <v/>
      </c>
    </row>
    <row r="80" customFormat="false" ht="15" hidden="false" customHeight="false" outlineLevel="0" collapsed="false">
      <c r="A80" s="7" t="n">
        <v>74</v>
      </c>
      <c r="B80" s="7" t="str">
        <f aca="false">IF(A80&gt;'2 Phases'!$D$4,"",IF(A80=0,1,COUNTIF('2 Phases'!$M$7:$M$12,"&lt;"&amp;A80)+1))</f>
        <v/>
      </c>
      <c r="C80" s="7" t="str">
        <f aca="false">IF($B80="","",INDEX('2 Phases'!$C$7:$C$12,B80))</f>
        <v/>
      </c>
      <c r="D80" s="7" t="str">
        <f aca="false">IF($B80="","",A80-INDEX('2 Phases'!$L$7:$L$12,B80))</f>
        <v/>
      </c>
      <c r="E80" s="14" t="str">
        <f aca="false">IF($B80="","",IFERROR(IF(C80="Continuous",INDEX('2 Phases'!$N$7:$N$12,B80)*EXP((INDEX('2 Phases'!$P$7:$P$12,B80)-N(INDEX('2 Phases'!$H$7:$H$12,B80)))*D80),INDEX('2 Phases'!$N$7:$N$12,B80)*(IF(INDEX('2 Phases'!$E$7:$E$12,B80)="",INDEX('2 Phases'!$N$7:$N$12,B80),INDEX('2 Phases'!$E$7:$E$12,B80))/INDEX('2 Phases'!$N$7:$N$12,B80))^(D80/INDEX('2 Phases'!$D$7:$D$12,B80))),""))</f>
        <v/>
      </c>
      <c r="F80" s="15" t="n">
        <f aca="false">IF(OR($B80="",C80&lt;&gt;"Fed-batch",D80=0),0,IFERROR(N(INDEX('3 Feed regimes'!$B$6:$E$35,D80,MATCH(INDEX('2 Phases'!$F$7:$F$12,B80),'3 Feed regimes'!$B$4:$E$4,0)))*'1 Setup'!$B$5/100,0))</f>
        <v>0</v>
      </c>
      <c r="G80" s="15" t="str">
        <f aca="false">IF($B80="","",G79+F80)</f>
        <v/>
      </c>
      <c r="H80" s="14" t="str">
        <f aca="false">IF($B80="","",(E79+E80)/2)</f>
        <v/>
      </c>
      <c r="I80" s="15" t="str">
        <f aca="false">IF($B80="","",IF(C80="Continuous",N(INDEX('2 Phases'!$G$7:$G$12,B80))*G79,0))</f>
        <v/>
      </c>
      <c r="J80" s="15" t="str">
        <f aca="false">IF($B80="","",IF(C80="Continuous",N(INDEX('2 Phases'!$H$7:$H$12,B80))*G79,0))</f>
        <v/>
      </c>
      <c r="K80" s="15" t="str">
        <f aca="false">IF($B80="","",I80-J80)</f>
        <v/>
      </c>
      <c r="L80" s="14" t="str">
        <f aca="false">IF($B80="","",J80*1000*H80)</f>
        <v/>
      </c>
      <c r="M80" s="15" t="str">
        <f aca="false">IF($B80="","",M79+F80+I80)</f>
        <v/>
      </c>
      <c r="N80" s="15" t="str">
        <f aca="false">IF($B80="","",N79+K80)</f>
        <v/>
      </c>
      <c r="O80" s="15" t="str">
        <f aca="false">IF($B80="","",O79+J80)</f>
        <v/>
      </c>
      <c r="P80" s="14" t="str">
        <f aca="false">IF($B80="","",P79+L80)</f>
        <v/>
      </c>
      <c r="Q80" s="18" t="str">
        <f aca="false">IF(OR($B80="",Q79="",'1 Setup'!$C$10=""),"",IF(AND($C80="Continuous",N(INDEX('2 Phases'!$G$7:$G$12,B80))&gt;0),IF('1 Setup'!$G$10="","",MAX(0,('1 Setup'!$G$10+('1 Setup'!$H$10*'1 Setup'!$C$10*0.00000024*$H80)/N(INDEX('2 Phases'!$G$7:$G$12,B80)))+(((Q79*($G79-$F79)+N('1 Setup'!$F$10)*$F79)/$G79)-('1 Setup'!$G$10+('1 Setup'!$H$10*'1 Setup'!$C$10*0.00000024*$H80)/N(INDEX('2 Phases'!$G$7:$G$12,B80))))*EXP(-N(INDEX('2 Phases'!$G$7:$G$12,B80))))),MAX(0,((Q79*($G79-$F79)+N('1 Setup'!$F$10)*$F79)/$G79)+('1 Setup'!$H$10*'1 Setup'!$C$10*0.00000024*$H80))))</f>
        <v/>
      </c>
      <c r="R80" s="18" t="str">
        <f aca="false">IF(OR($B80="",R79="",'1 Setup'!$C$11=""),"",IF(AND($C80="Continuous",N(INDEX('2 Phases'!$G$7:$G$12,B80))&gt;0),IF('1 Setup'!$G$11="","",MAX(0,('1 Setup'!$G$11+('1 Setup'!$H$11*'1 Setup'!$C$11*0.00000024*$H80)/N(INDEX('2 Phases'!$G$7:$G$12,B80)))+(((R79*($G79-$F79)+N('1 Setup'!$F$11)*$F79)/$G79)-('1 Setup'!$G$11+('1 Setup'!$H$11*'1 Setup'!$C$11*0.00000024*$H80)/N(INDEX('2 Phases'!$G$7:$G$12,B80))))*EXP(-N(INDEX('2 Phases'!$G$7:$G$12,B80))))),MAX(0,((R79*($G79-$F79)+N('1 Setup'!$F$11)*$F79)/$G79)+('1 Setup'!$H$11*'1 Setup'!$C$11*0.00000024*$H80))))</f>
        <v/>
      </c>
      <c r="S80" s="18" t="str">
        <f aca="false">IF(OR($B80="",S79="",'1 Setup'!$C$12=""),"",IF(AND($C80="Continuous",N(INDEX('2 Phases'!$G$7:$G$12,B80))&gt;0),IF('1 Setup'!$G$12="","",MAX(0,('1 Setup'!$G$12+('1 Setup'!$H$12*'1 Setup'!$C$12*0.00000024*$H80)/N(INDEX('2 Phases'!$G$7:$G$12,B80)))+(((S79*($G79-$F79)+N('1 Setup'!$F$12)*$F79)/$G79)-('1 Setup'!$G$12+('1 Setup'!$H$12*'1 Setup'!$C$12*0.00000024*$H80)/N(INDEX('2 Phases'!$G$7:$G$12,B80))))*EXP(-N(INDEX('2 Phases'!$G$7:$G$12,B80))))),MAX(0,((S79*($G79-$F79)+N('1 Setup'!$F$12)*$F79)/$G79)+('1 Setup'!$H$12*'1 Setup'!$C$12*0.00000024*$H80))))</f>
        <v/>
      </c>
      <c r="T80" s="18" t="str">
        <f aca="false">IF(OR($B80="",T79="",'1 Setup'!$C$13=""),"",IF(AND($C80="Continuous",N(INDEX('2 Phases'!$G$7:$G$12,B80))&gt;0),IF('1 Setup'!$G$13="","",MAX(0,('1 Setup'!$G$13+('1 Setup'!$H$13*'1 Setup'!$C$13*0.00000024*$H80)/N(INDEX('2 Phases'!$G$7:$G$12,B80)))+(((T79*($G79-$F79)+N('1 Setup'!$F$13)*$F79)/$G79)-('1 Setup'!$G$13+('1 Setup'!$H$13*'1 Setup'!$C$13*0.00000024*$H80)/N(INDEX('2 Phases'!$G$7:$G$12,B80))))*EXP(-N(INDEX('2 Phases'!$G$7:$G$12,B80))))),MAX(0,((T79*($G79-$F79)+N('1 Setup'!$F$13)*$F79)/$G79)+('1 Setup'!$H$13*'1 Setup'!$C$13*0.00000024*$H80))))</f>
        <v/>
      </c>
      <c r="U80" s="18" t="str">
        <f aca="false">IF(OR($B80="",U79="",'1 Setup'!$C$14=""),"",IF(AND($C80="Continuous",N(INDEX('2 Phases'!$G$7:$G$12,B80))&gt;0),IF('1 Setup'!$G$14="","",MAX(0,('1 Setup'!$G$14+('1 Setup'!$H$14*'1 Setup'!$C$14*0.00000024*$H80)/N(INDEX('2 Phases'!$G$7:$G$12,B80)))+(((U79*($G79-$F79)+N('1 Setup'!$F$14)*$F79)/$G79)-('1 Setup'!$G$14+('1 Setup'!$H$14*'1 Setup'!$C$14*0.00000024*$H80)/N(INDEX('2 Phases'!$G$7:$G$12,B80))))*EXP(-N(INDEX('2 Phases'!$G$7:$G$12,B80))))),MAX(0,((U79*($G79-$F79)+N('1 Setup'!$F$14)*$F79)/$G79)+('1 Setup'!$H$14*'1 Setup'!$C$14*0.00000024*$H80))))</f>
        <v/>
      </c>
      <c r="V80" s="18" t="str">
        <f aca="false">IF($B80="","",E80/1000000*'1 Setup'!$B$7)</f>
        <v/>
      </c>
      <c r="W80" s="18" t="str">
        <f aca="false">IF($B80="","",V80*G80)</f>
        <v/>
      </c>
      <c r="X80" s="18" t="str">
        <f aca="false">IF($B80="","",P80*'1 Setup'!$B$7/1000000000)</f>
        <v/>
      </c>
      <c r="Y80" s="18" t="str">
        <f aca="false">IF($B80="","",L80*'1 Setup'!$B$7/1000000000)</f>
        <v/>
      </c>
    </row>
    <row r="81" customFormat="false" ht="15" hidden="false" customHeight="false" outlineLevel="0" collapsed="false">
      <c r="A81" s="7" t="n">
        <v>75</v>
      </c>
      <c r="B81" s="7" t="str">
        <f aca="false">IF(A81&gt;'2 Phases'!$D$4,"",IF(A81=0,1,COUNTIF('2 Phases'!$M$7:$M$12,"&lt;"&amp;A81)+1))</f>
        <v/>
      </c>
      <c r="C81" s="7" t="str">
        <f aca="false">IF($B81="","",INDEX('2 Phases'!$C$7:$C$12,B81))</f>
        <v/>
      </c>
      <c r="D81" s="7" t="str">
        <f aca="false">IF($B81="","",A81-INDEX('2 Phases'!$L$7:$L$12,B81))</f>
        <v/>
      </c>
      <c r="E81" s="14" t="str">
        <f aca="false">IF($B81="","",IFERROR(IF(C81="Continuous",INDEX('2 Phases'!$N$7:$N$12,B81)*EXP((INDEX('2 Phases'!$P$7:$P$12,B81)-N(INDEX('2 Phases'!$H$7:$H$12,B81)))*D81),INDEX('2 Phases'!$N$7:$N$12,B81)*(IF(INDEX('2 Phases'!$E$7:$E$12,B81)="",INDEX('2 Phases'!$N$7:$N$12,B81),INDEX('2 Phases'!$E$7:$E$12,B81))/INDEX('2 Phases'!$N$7:$N$12,B81))^(D81/INDEX('2 Phases'!$D$7:$D$12,B81))),""))</f>
        <v/>
      </c>
      <c r="F81" s="15" t="n">
        <f aca="false">IF(OR($B81="",C81&lt;&gt;"Fed-batch",D81=0),0,IFERROR(N(INDEX('3 Feed regimes'!$B$6:$E$35,D81,MATCH(INDEX('2 Phases'!$F$7:$F$12,B81),'3 Feed regimes'!$B$4:$E$4,0)))*'1 Setup'!$B$5/100,0))</f>
        <v>0</v>
      </c>
      <c r="G81" s="15" t="str">
        <f aca="false">IF($B81="","",G80+F81)</f>
        <v/>
      </c>
      <c r="H81" s="14" t="str">
        <f aca="false">IF($B81="","",(E80+E81)/2)</f>
        <v/>
      </c>
      <c r="I81" s="15" t="str">
        <f aca="false">IF($B81="","",IF(C81="Continuous",N(INDEX('2 Phases'!$G$7:$G$12,B81))*G80,0))</f>
        <v/>
      </c>
      <c r="J81" s="15" t="str">
        <f aca="false">IF($B81="","",IF(C81="Continuous",N(INDEX('2 Phases'!$H$7:$H$12,B81))*G80,0))</f>
        <v/>
      </c>
      <c r="K81" s="15" t="str">
        <f aca="false">IF($B81="","",I81-J81)</f>
        <v/>
      </c>
      <c r="L81" s="14" t="str">
        <f aca="false">IF($B81="","",J81*1000*H81)</f>
        <v/>
      </c>
      <c r="M81" s="15" t="str">
        <f aca="false">IF($B81="","",M80+F81+I81)</f>
        <v/>
      </c>
      <c r="N81" s="15" t="str">
        <f aca="false">IF($B81="","",N80+K81)</f>
        <v/>
      </c>
      <c r="O81" s="15" t="str">
        <f aca="false">IF($B81="","",O80+J81)</f>
        <v/>
      </c>
      <c r="P81" s="14" t="str">
        <f aca="false">IF($B81="","",P80+L81)</f>
        <v/>
      </c>
      <c r="Q81" s="18" t="str">
        <f aca="false">IF(OR($B81="",Q80="",'1 Setup'!$C$10=""),"",IF(AND($C81="Continuous",N(INDEX('2 Phases'!$G$7:$G$12,B81))&gt;0),IF('1 Setup'!$G$10="","",MAX(0,('1 Setup'!$G$10+('1 Setup'!$H$10*'1 Setup'!$C$10*0.00000024*$H81)/N(INDEX('2 Phases'!$G$7:$G$12,B81)))+(((Q80*($G80-$F80)+N('1 Setup'!$F$10)*$F80)/$G80)-('1 Setup'!$G$10+('1 Setup'!$H$10*'1 Setup'!$C$10*0.00000024*$H81)/N(INDEX('2 Phases'!$G$7:$G$12,B81))))*EXP(-N(INDEX('2 Phases'!$G$7:$G$12,B81))))),MAX(0,((Q80*($G80-$F80)+N('1 Setup'!$F$10)*$F80)/$G80)+('1 Setup'!$H$10*'1 Setup'!$C$10*0.00000024*$H81))))</f>
        <v/>
      </c>
      <c r="R81" s="18" t="str">
        <f aca="false">IF(OR($B81="",R80="",'1 Setup'!$C$11=""),"",IF(AND($C81="Continuous",N(INDEX('2 Phases'!$G$7:$G$12,B81))&gt;0),IF('1 Setup'!$G$11="","",MAX(0,('1 Setup'!$G$11+('1 Setup'!$H$11*'1 Setup'!$C$11*0.00000024*$H81)/N(INDEX('2 Phases'!$G$7:$G$12,B81)))+(((R80*($G80-$F80)+N('1 Setup'!$F$11)*$F80)/$G80)-('1 Setup'!$G$11+('1 Setup'!$H$11*'1 Setup'!$C$11*0.00000024*$H81)/N(INDEX('2 Phases'!$G$7:$G$12,B81))))*EXP(-N(INDEX('2 Phases'!$G$7:$G$12,B81))))),MAX(0,((R80*($G80-$F80)+N('1 Setup'!$F$11)*$F80)/$G80)+('1 Setup'!$H$11*'1 Setup'!$C$11*0.00000024*$H81))))</f>
        <v/>
      </c>
      <c r="S81" s="18" t="str">
        <f aca="false">IF(OR($B81="",S80="",'1 Setup'!$C$12=""),"",IF(AND($C81="Continuous",N(INDEX('2 Phases'!$G$7:$G$12,B81))&gt;0),IF('1 Setup'!$G$12="","",MAX(0,('1 Setup'!$G$12+('1 Setup'!$H$12*'1 Setup'!$C$12*0.00000024*$H81)/N(INDEX('2 Phases'!$G$7:$G$12,B81)))+(((S80*($G80-$F80)+N('1 Setup'!$F$12)*$F80)/$G80)-('1 Setup'!$G$12+('1 Setup'!$H$12*'1 Setup'!$C$12*0.00000024*$H81)/N(INDEX('2 Phases'!$G$7:$G$12,B81))))*EXP(-N(INDEX('2 Phases'!$G$7:$G$12,B81))))),MAX(0,((S80*($G80-$F80)+N('1 Setup'!$F$12)*$F80)/$G80)+('1 Setup'!$H$12*'1 Setup'!$C$12*0.00000024*$H81))))</f>
        <v/>
      </c>
      <c r="T81" s="18" t="str">
        <f aca="false">IF(OR($B81="",T80="",'1 Setup'!$C$13=""),"",IF(AND($C81="Continuous",N(INDEX('2 Phases'!$G$7:$G$12,B81))&gt;0),IF('1 Setup'!$G$13="","",MAX(0,('1 Setup'!$G$13+('1 Setup'!$H$13*'1 Setup'!$C$13*0.00000024*$H81)/N(INDEX('2 Phases'!$G$7:$G$12,B81)))+(((T80*($G80-$F80)+N('1 Setup'!$F$13)*$F80)/$G80)-('1 Setup'!$G$13+('1 Setup'!$H$13*'1 Setup'!$C$13*0.00000024*$H81)/N(INDEX('2 Phases'!$G$7:$G$12,B81))))*EXP(-N(INDEX('2 Phases'!$G$7:$G$12,B81))))),MAX(0,((T80*($G80-$F80)+N('1 Setup'!$F$13)*$F80)/$G80)+('1 Setup'!$H$13*'1 Setup'!$C$13*0.00000024*$H81))))</f>
        <v/>
      </c>
      <c r="U81" s="18" t="str">
        <f aca="false">IF(OR($B81="",U80="",'1 Setup'!$C$14=""),"",IF(AND($C81="Continuous",N(INDEX('2 Phases'!$G$7:$G$12,B81))&gt;0),IF('1 Setup'!$G$14="","",MAX(0,('1 Setup'!$G$14+('1 Setup'!$H$14*'1 Setup'!$C$14*0.00000024*$H81)/N(INDEX('2 Phases'!$G$7:$G$12,B81)))+(((U80*($G80-$F80)+N('1 Setup'!$F$14)*$F80)/$G80)-('1 Setup'!$G$14+('1 Setup'!$H$14*'1 Setup'!$C$14*0.00000024*$H81)/N(INDEX('2 Phases'!$G$7:$G$12,B81))))*EXP(-N(INDEX('2 Phases'!$G$7:$G$12,B81))))),MAX(0,((U80*($G80-$F80)+N('1 Setup'!$F$14)*$F80)/$G80)+('1 Setup'!$H$14*'1 Setup'!$C$14*0.00000024*$H81))))</f>
        <v/>
      </c>
      <c r="V81" s="18" t="str">
        <f aca="false">IF($B81="","",E81/1000000*'1 Setup'!$B$7)</f>
        <v/>
      </c>
      <c r="W81" s="18" t="str">
        <f aca="false">IF($B81="","",V81*G81)</f>
        <v/>
      </c>
      <c r="X81" s="18" t="str">
        <f aca="false">IF($B81="","",P81*'1 Setup'!$B$7/1000000000)</f>
        <v/>
      </c>
      <c r="Y81" s="18" t="str">
        <f aca="false">IF($B81="","",L81*'1 Setup'!$B$7/1000000000)</f>
        <v/>
      </c>
    </row>
    <row r="82" customFormat="false" ht="15" hidden="false" customHeight="false" outlineLevel="0" collapsed="false">
      <c r="A82" s="7" t="n">
        <v>76</v>
      </c>
      <c r="B82" s="7" t="str">
        <f aca="false">IF(A82&gt;'2 Phases'!$D$4,"",IF(A82=0,1,COUNTIF('2 Phases'!$M$7:$M$12,"&lt;"&amp;A82)+1))</f>
        <v/>
      </c>
      <c r="C82" s="7" t="str">
        <f aca="false">IF($B82="","",INDEX('2 Phases'!$C$7:$C$12,B82))</f>
        <v/>
      </c>
      <c r="D82" s="7" t="str">
        <f aca="false">IF($B82="","",A82-INDEX('2 Phases'!$L$7:$L$12,B82))</f>
        <v/>
      </c>
      <c r="E82" s="14" t="str">
        <f aca="false">IF($B82="","",IFERROR(IF(C82="Continuous",INDEX('2 Phases'!$N$7:$N$12,B82)*EXP((INDEX('2 Phases'!$P$7:$P$12,B82)-N(INDEX('2 Phases'!$H$7:$H$12,B82)))*D82),INDEX('2 Phases'!$N$7:$N$12,B82)*(IF(INDEX('2 Phases'!$E$7:$E$12,B82)="",INDEX('2 Phases'!$N$7:$N$12,B82),INDEX('2 Phases'!$E$7:$E$12,B82))/INDEX('2 Phases'!$N$7:$N$12,B82))^(D82/INDEX('2 Phases'!$D$7:$D$12,B82))),""))</f>
        <v/>
      </c>
      <c r="F82" s="15" t="n">
        <f aca="false">IF(OR($B82="",C82&lt;&gt;"Fed-batch",D82=0),0,IFERROR(N(INDEX('3 Feed regimes'!$B$6:$E$35,D82,MATCH(INDEX('2 Phases'!$F$7:$F$12,B82),'3 Feed regimes'!$B$4:$E$4,0)))*'1 Setup'!$B$5/100,0))</f>
        <v>0</v>
      </c>
      <c r="G82" s="15" t="str">
        <f aca="false">IF($B82="","",G81+F82)</f>
        <v/>
      </c>
      <c r="H82" s="14" t="str">
        <f aca="false">IF($B82="","",(E81+E82)/2)</f>
        <v/>
      </c>
      <c r="I82" s="15" t="str">
        <f aca="false">IF($B82="","",IF(C82="Continuous",N(INDEX('2 Phases'!$G$7:$G$12,B82))*G81,0))</f>
        <v/>
      </c>
      <c r="J82" s="15" t="str">
        <f aca="false">IF($B82="","",IF(C82="Continuous",N(INDEX('2 Phases'!$H$7:$H$12,B82))*G81,0))</f>
        <v/>
      </c>
      <c r="K82" s="15" t="str">
        <f aca="false">IF($B82="","",I82-J82)</f>
        <v/>
      </c>
      <c r="L82" s="14" t="str">
        <f aca="false">IF($B82="","",J82*1000*H82)</f>
        <v/>
      </c>
      <c r="M82" s="15" t="str">
        <f aca="false">IF($B82="","",M81+F82+I82)</f>
        <v/>
      </c>
      <c r="N82" s="15" t="str">
        <f aca="false">IF($B82="","",N81+K82)</f>
        <v/>
      </c>
      <c r="O82" s="15" t="str">
        <f aca="false">IF($B82="","",O81+J82)</f>
        <v/>
      </c>
      <c r="P82" s="14" t="str">
        <f aca="false">IF($B82="","",P81+L82)</f>
        <v/>
      </c>
      <c r="Q82" s="18" t="str">
        <f aca="false">IF(OR($B82="",Q81="",'1 Setup'!$C$10=""),"",IF(AND($C82="Continuous",N(INDEX('2 Phases'!$G$7:$G$12,B82))&gt;0),IF('1 Setup'!$G$10="","",MAX(0,('1 Setup'!$G$10+('1 Setup'!$H$10*'1 Setup'!$C$10*0.00000024*$H82)/N(INDEX('2 Phases'!$G$7:$G$12,B82)))+(((Q81*($G81-$F81)+N('1 Setup'!$F$10)*$F81)/$G81)-('1 Setup'!$G$10+('1 Setup'!$H$10*'1 Setup'!$C$10*0.00000024*$H82)/N(INDEX('2 Phases'!$G$7:$G$12,B82))))*EXP(-N(INDEX('2 Phases'!$G$7:$G$12,B82))))),MAX(0,((Q81*($G81-$F81)+N('1 Setup'!$F$10)*$F81)/$G81)+('1 Setup'!$H$10*'1 Setup'!$C$10*0.00000024*$H82))))</f>
        <v/>
      </c>
      <c r="R82" s="18" t="str">
        <f aca="false">IF(OR($B82="",R81="",'1 Setup'!$C$11=""),"",IF(AND($C82="Continuous",N(INDEX('2 Phases'!$G$7:$G$12,B82))&gt;0),IF('1 Setup'!$G$11="","",MAX(0,('1 Setup'!$G$11+('1 Setup'!$H$11*'1 Setup'!$C$11*0.00000024*$H82)/N(INDEX('2 Phases'!$G$7:$G$12,B82)))+(((R81*($G81-$F81)+N('1 Setup'!$F$11)*$F81)/$G81)-('1 Setup'!$G$11+('1 Setup'!$H$11*'1 Setup'!$C$11*0.00000024*$H82)/N(INDEX('2 Phases'!$G$7:$G$12,B82))))*EXP(-N(INDEX('2 Phases'!$G$7:$G$12,B82))))),MAX(0,((R81*($G81-$F81)+N('1 Setup'!$F$11)*$F81)/$G81)+('1 Setup'!$H$11*'1 Setup'!$C$11*0.00000024*$H82))))</f>
        <v/>
      </c>
      <c r="S82" s="18" t="str">
        <f aca="false">IF(OR($B82="",S81="",'1 Setup'!$C$12=""),"",IF(AND($C82="Continuous",N(INDEX('2 Phases'!$G$7:$G$12,B82))&gt;0),IF('1 Setup'!$G$12="","",MAX(0,('1 Setup'!$G$12+('1 Setup'!$H$12*'1 Setup'!$C$12*0.00000024*$H82)/N(INDEX('2 Phases'!$G$7:$G$12,B82)))+(((S81*($G81-$F81)+N('1 Setup'!$F$12)*$F81)/$G81)-('1 Setup'!$G$12+('1 Setup'!$H$12*'1 Setup'!$C$12*0.00000024*$H82)/N(INDEX('2 Phases'!$G$7:$G$12,B82))))*EXP(-N(INDEX('2 Phases'!$G$7:$G$12,B82))))),MAX(0,((S81*($G81-$F81)+N('1 Setup'!$F$12)*$F81)/$G81)+('1 Setup'!$H$12*'1 Setup'!$C$12*0.00000024*$H82))))</f>
        <v/>
      </c>
      <c r="T82" s="18" t="str">
        <f aca="false">IF(OR($B82="",T81="",'1 Setup'!$C$13=""),"",IF(AND($C82="Continuous",N(INDEX('2 Phases'!$G$7:$G$12,B82))&gt;0),IF('1 Setup'!$G$13="","",MAX(0,('1 Setup'!$G$13+('1 Setup'!$H$13*'1 Setup'!$C$13*0.00000024*$H82)/N(INDEX('2 Phases'!$G$7:$G$12,B82)))+(((T81*($G81-$F81)+N('1 Setup'!$F$13)*$F81)/$G81)-('1 Setup'!$G$13+('1 Setup'!$H$13*'1 Setup'!$C$13*0.00000024*$H82)/N(INDEX('2 Phases'!$G$7:$G$12,B82))))*EXP(-N(INDEX('2 Phases'!$G$7:$G$12,B82))))),MAX(0,((T81*($G81-$F81)+N('1 Setup'!$F$13)*$F81)/$G81)+('1 Setup'!$H$13*'1 Setup'!$C$13*0.00000024*$H82))))</f>
        <v/>
      </c>
      <c r="U82" s="18" t="str">
        <f aca="false">IF(OR($B82="",U81="",'1 Setup'!$C$14=""),"",IF(AND($C82="Continuous",N(INDEX('2 Phases'!$G$7:$G$12,B82))&gt;0),IF('1 Setup'!$G$14="","",MAX(0,('1 Setup'!$G$14+('1 Setup'!$H$14*'1 Setup'!$C$14*0.00000024*$H82)/N(INDEX('2 Phases'!$G$7:$G$12,B82)))+(((U81*($G81-$F81)+N('1 Setup'!$F$14)*$F81)/$G81)-('1 Setup'!$G$14+('1 Setup'!$H$14*'1 Setup'!$C$14*0.00000024*$H82)/N(INDEX('2 Phases'!$G$7:$G$12,B82))))*EXP(-N(INDEX('2 Phases'!$G$7:$G$12,B82))))),MAX(0,((U81*($G81-$F81)+N('1 Setup'!$F$14)*$F81)/$G81)+('1 Setup'!$H$14*'1 Setup'!$C$14*0.00000024*$H82))))</f>
        <v/>
      </c>
      <c r="V82" s="18" t="str">
        <f aca="false">IF($B82="","",E82/1000000*'1 Setup'!$B$7)</f>
        <v/>
      </c>
      <c r="W82" s="18" t="str">
        <f aca="false">IF($B82="","",V82*G82)</f>
        <v/>
      </c>
      <c r="X82" s="18" t="str">
        <f aca="false">IF($B82="","",P82*'1 Setup'!$B$7/1000000000)</f>
        <v/>
      </c>
      <c r="Y82" s="18" t="str">
        <f aca="false">IF($B82="","",L82*'1 Setup'!$B$7/1000000000)</f>
        <v/>
      </c>
    </row>
    <row r="83" customFormat="false" ht="15" hidden="false" customHeight="false" outlineLevel="0" collapsed="false">
      <c r="A83" s="7" t="n">
        <v>77</v>
      </c>
      <c r="B83" s="7" t="str">
        <f aca="false">IF(A83&gt;'2 Phases'!$D$4,"",IF(A83=0,1,COUNTIF('2 Phases'!$M$7:$M$12,"&lt;"&amp;A83)+1))</f>
        <v/>
      </c>
      <c r="C83" s="7" t="str">
        <f aca="false">IF($B83="","",INDEX('2 Phases'!$C$7:$C$12,B83))</f>
        <v/>
      </c>
      <c r="D83" s="7" t="str">
        <f aca="false">IF($B83="","",A83-INDEX('2 Phases'!$L$7:$L$12,B83))</f>
        <v/>
      </c>
      <c r="E83" s="14" t="str">
        <f aca="false">IF($B83="","",IFERROR(IF(C83="Continuous",INDEX('2 Phases'!$N$7:$N$12,B83)*EXP((INDEX('2 Phases'!$P$7:$P$12,B83)-N(INDEX('2 Phases'!$H$7:$H$12,B83)))*D83),INDEX('2 Phases'!$N$7:$N$12,B83)*(IF(INDEX('2 Phases'!$E$7:$E$12,B83)="",INDEX('2 Phases'!$N$7:$N$12,B83),INDEX('2 Phases'!$E$7:$E$12,B83))/INDEX('2 Phases'!$N$7:$N$12,B83))^(D83/INDEX('2 Phases'!$D$7:$D$12,B83))),""))</f>
        <v/>
      </c>
      <c r="F83" s="15" t="n">
        <f aca="false">IF(OR($B83="",C83&lt;&gt;"Fed-batch",D83=0),0,IFERROR(N(INDEX('3 Feed regimes'!$B$6:$E$35,D83,MATCH(INDEX('2 Phases'!$F$7:$F$12,B83),'3 Feed regimes'!$B$4:$E$4,0)))*'1 Setup'!$B$5/100,0))</f>
        <v>0</v>
      </c>
      <c r="G83" s="15" t="str">
        <f aca="false">IF($B83="","",G82+F83)</f>
        <v/>
      </c>
      <c r="H83" s="14" t="str">
        <f aca="false">IF($B83="","",(E82+E83)/2)</f>
        <v/>
      </c>
      <c r="I83" s="15" t="str">
        <f aca="false">IF($B83="","",IF(C83="Continuous",N(INDEX('2 Phases'!$G$7:$G$12,B83))*G82,0))</f>
        <v/>
      </c>
      <c r="J83" s="15" t="str">
        <f aca="false">IF($B83="","",IF(C83="Continuous",N(INDEX('2 Phases'!$H$7:$H$12,B83))*G82,0))</f>
        <v/>
      </c>
      <c r="K83" s="15" t="str">
        <f aca="false">IF($B83="","",I83-J83)</f>
        <v/>
      </c>
      <c r="L83" s="14" t="str">
        <f aca="false">IF($B83="","",J83*1000*H83)</f>
        <v/>
      </c>
      <c r="M83" s="15" t="str">
        <f aca="false">IF($B83="","",M82+F83+I83)</f>
        <v/>
      </c>
      <c r="N83" s="15" t="str">
        <f aca="false">IF($B83="","",N82+K83)</f>
        <v/>
      </c>
      <c r="O83" s="15" t="str">
        <f aca="false">IF($B83="","",O82+J83)</f>
        <v/>
      </c>
      <c r="P83" s="14" t="str">
        <f aca="false">IF($B83="","",P82+L83)</f>
        <v/>
      </c>
      <c r="Q83" s="18" t="str">
        <f aca="false">IF(OR($B83="",Q82="",'1 Setup'!$C$10=""),"",IF(AND($C83="Continuous",N(INDEX('2 Phases'!$G$7:$G$12,B83))&gt;0),IF('1 Setup'!$G$10="","",MAX(0,('1 Setup'!$G$10+('1 Setup'!$H$10*'1 Setup'!$C$10*0.00000024*$H83)/N(INDEX('2 Phases'!$G$7:$G$12,B83)))+(((Q82*($G82-$F82)+N('1 Setup'!$F$10)*$F82)/$G82)-('1 Setup'!$G$10+('1 Setup'!$H$10*'1 Setup'!$C$10*0.00000024*$H83)/N(INDEX('2 Phases'!$G$7:$G$12,B83))))*EXP(-N(INDEX('2 Phases'!$G$7:$G$12,B83))))),MAX(0,((Q82*($G82-$F82)+N('1 Setup'!$F$10)*$F82)/$G82)+('1 Setup'!$H$10*'1 Setup'!$C$10*0.00000024*$H83))))</f>
        <v/>
      </c>
      <c r="R83" s="18" t="str">
        <f aca="false">IF(OR($B83="",R82="",'1 Setup'!$C$11=""),"",IF(AND($C83="Continuous",N(INDEX('2 Phases'!$G$7:$G$12,B83))&gt;0),IF('1 Setup'!$G$11="","",MAX(0,('1 Setup'!$G$11+('1 Setup'!$H$11*'1 Setup'!$C$11*0.00000024*$H83)/N(INDEX('2 Phases'!$G$7:$G$12,B83)))+(((R82*($G82-$F82)+N('1 Setup'!$F$11)*$F82)/$G82)-('1 Setup'!$G$11+('1 Setup'!$H$11*'1 Setup'!$C$11*0.00000024*$H83)/N(INDEX('2 Phases'!$G$7:$G$12,B83))))*EXP(-N(INDEX('2 Phases'!$G$7:$G$12,B83))))),MAX(0,((R82*($G82-$F82)+N('1 Setup'!$F$11)*$F82)/$G82)+('1 Setup'!$H$11*'1 Setup'!$C$11*0.00000024*$H83))))</f>
        <v/>
      </c>
      <c r="S83" s="18" t="str">
        <f aca="false">IF(OR($B83="",S82="",'1 Setup'!$C$12=""),"",IF(AND($C83="Continuous",N(INDEX('2 Phases'!$G$7:$G$12,B83))&gt;0),IF('1 Setup'!$G$12="","",MAX(0,('1 Setup'!$G$12+('1 Setup'!$H$12*'1 Setup'!$C$12*0.00000024*$H83)/N(INDEX('2 Phases'!$G$7:$G$12,B83)))+(((S82*($G82-$F82)+N('1 Setup'!$F$12)*$F82)/$G82)-('1 Setup'!$G$12+('1 Setup'!$H$12*'1 Setup'!$C$12*0.00000024*$H83)/N(INDEX('2 Phases'!$G$7:$G$12,B83))))*EXP(-N(INDEX('2 Phases'!$G$7:$G$12,B83))))),MAX(0,((S82*($G82-$F82)+N('1 Setup'!$F$12)*$F82)/$G82)+('1 Setup'!$H$12*'1 Setup'!$C$12*0.00000024*$H83))))</f>
        <v/>
      </c>
      <c r="T83" s="18" t="str">
        <f aca="false">IF(OR($B83="",T82="",'1 Setup'!$C$13=""),"",IF(AND($C83="Continuous",N(INDEX('2 Phases'!$G$7:$G$12,B83))&gt;0),IF('1 Setup'!$G$13="","",MAX(0,('1 Setup'!$G$13+('1 Setup'!$H$13*'1 Setup'!$C$13*0.00000024*$H83)/N(INDEX('2 Phases'!$G$7:$G$12,B83)))+(((T82*($G82-$F82)+N('1 Setup'!$F$13)*$F82)/$G82)-('1 Setup'!$G$13+('1 Setup'!$H$13*'1 Setup'!$C$13*0.00000024*$H83)/N(INDEX('2 Phases'!$G$7:$G$12,B83))))*EXP(-N(INDEX('2 Phases'!$G$7:$G$12,B83))))),MAX(0,((T82*($G82-$F82)+N('1 Setup'!$F$13)*$F82)/$G82)+('1 Setup'!$H$13*'1 Setup'!$C$13*0.00000024*$H83))))</f>
        <v/>
      </c>
      <c r="U83" s="18" t="str">
        <f aca="false">IF(OR($B83="",U82="",'1 Setup'!$C$14=""),"",IF(AND($C83="Continuous",N(INDEX('2 Phases'!$G$7:$G$12,B83))&gt;0),IF('1 Setup'!$G$14="","",MAX(0,('1 Setup'!$G$14+('1 Setup'!$H$14*'1 Setup'!$C$14*0.00000024*$H83)/N(INDEX('2 Phases'!$G$7:$G$12,B83)))+(((U82*($G82-$F82)+N('1 Setup'!$F$14)*$F82)/$G82)-('1 Setup'!$G$14+('1 Setup'!$H$14*'1 Setup'!$C$14*0.00000024*$H83)/N(INDEX('2 Phases'!$G$7:$G$12,B83))))*EXP(-N(INDEX('2 Phases'!$G$7:$G$12,B83))))),MAX(0,((U82*($G82-$F82)+N('1 Setup'!$F$14)*$F82)/$G82)+('1 Setup'!$H$14*'1 Setup'!$C$14*0.00000024*$H83))))</f>
        <v/>
      </c>
      <c r="V83" s="18" t="str">
        <f aca="false">IF($B83="","",E83/1000000*'1 Setup'!$B$7)</f>
        <v/>
      </c>
      <c r="W83" s="18" t="str">
        <f aca="false">IF($B83="","",V83*G83)</f>
        <v/>
      </c>
      <c r="X83" s="18" t="str">
        <f aca="false">IF($B83="","",P83*'1 Setup'!$B$7/1000000000)</f>
        <v/>
      </c>
      <c r="Y83" s="18" t="str">
        <f aca="false">IF($B83="","",L83*'1 Setup'!$B$7/1000000000)</f>
        <v/>
      </c>
    </row>
    <row r="84" customFormat="false" ht="15" hidden="false" customHeight="false" outlineLevel="0" collapsed="false">
      <c r="A84" s="7" t="n">
        <v>78</v>
      </c>
      <c r="B84" s="7" t="str">
        <f aca="false">IF(A84&gt;'2 Phases'!$D$4,"",IF(A84=0,1,COUNTIF('2 Phases'!$M$7:$M$12,"&lt;"&amp;A84)+1))</f>
        <v/>
      </c>
      <c r="C84" s="7" t="str">
        <f aca="false">IF($B84="","",INDEX('2 Phases'!$C$7:$C$12,B84))</f>
        <v/>
      </c>
      <c r="D84" s="7" t="str">
        <f aca="false">IF($B84="","",A84-INDEX('2 Phases'!$L$7:$L$12,B84))</f>
        <v/>
      </c>
      <c r="E84" s="14" t="str">
        <f aca="false">IF($B84="","",IFERROR(IF(C84="Continuous",INDEX('2 Phases'!$N$7:$N$12,B84)*EXP((INDEX('2 Phases'!$P$7:$P$12,B84)-N(INDEX('2 Phases'!$H$7:$H$12,B84)))*D84),INDEX('2 Phases'!$N$7:$N$12,B84)*(IF(INDEX('2 Phases'!$E$7:$E$12,B84)="",INDEX('2 Phases'!$N$7:$N$12,B84),INDEX('2 Phases'!$E$7:$E$12,B84))/INDEX('2 Phases'!$N$7:$N$12,B84))^(D84/INDEX('2 Phases'!$D$7:$D$12,B84))),""))</f>
        <v/>
      </c>
      <c r="F84" s="15" t="n">
        <f aca="false">IF(OR($B84="",C84&lt;&gt;"Fed-batch",D84=0),0,IFERROR(N(INDEX('3 Feed regimes'!$B$6:$E$35,D84,MATCH(INDEX('2 Phases'!$F$7:$F$12,B84),'3 Feed regimes'!$B$4:$E$4,0)))*'1 Setup'!$B$5/100,0))</f>
        <v>0</v>
      </c>
      <c r="G84" s="15" t="str">
        <f aca="false">IF($B84="","",G83+F84)</f>
        <v/>
      </c>
      <c r="H84" s="14" t="str">
        <f aca="false">IF($B84="","",(E83+E84)/2)</f>
        <v/>
      </c>
      <c r="I84" s="15" t="str">
        <f aca="false">IF($B84="","",IF(C84="Continuous",N(INDEX('2 Phases'!$G$7:$G$12,B84))*G83,0))</f>
        <v/>
      </c>
      <c r="J84" s="15" t="str">
        <f aca="false">IF($B84="","",IF(C84="Continuous",N(INDEX('2 Phases'!$H$7:$H$12,B84))*G83,0))</f>
        <v/>
      </c>
      <c r="K84" s="15" t="str">
        <f aca="false">IF($B84="","",I84-J84)</f>
        <v/>
      </c>
      <c r="L84" s="14" t="str">
        <f aca="false">IF($B84="","",J84*1000*H84)</f>
        <v/>
      </c>
      <c r="M84" s="15" t="str">
        <f aca="false">IF($B84="","",M83+F84+I84)</f>
        <v/>
      </c>
      <c r="N84" s="15" t="str">
        <f aca="false">IF($B84="","",N83+K84)</f>
        <v/>
      </c>
      <c r="O84" s="15" t="str">
        <f aca="false">IF($B84="","",O83+J84)</f>
        <v/>
      </c>
      <c r="P84" s="14" t="str">
        <f aca="false">IF($B84="","",P83+L84)</f>
        <v/>
      </c>
      <c r="Q84" s="18" t="str">
        <f aca="false">IF(OR($B84="",Q83="",'1 Setup'!$C$10=""),"",IF(AND($C84="Continuous",N(INDEX('2 Phases'!$G$7:$G$12,B84))&gt;0),IF('1 Setup'!$G$10="","",MAX(0,('1 Setup'!$G$10+('1 Setup'!$H$10*'1 Setup'!$C$10*0.00000024*$H84)/N(INDEX('2 Phases'!$G$7:$G$12,B84)))+(((Q83*($G83-$F83)+N('1 Setup'!$F$10)*$F83)/$G83)-('1 Setup'!$G$10+('1 Setup'!$H$10*'1 Setup'!$C$10*0.00000024*$H84)/N(INDEX('2 Phases'!$G$7:$G$12,B84))))*EXP(-N(INDEX('2 Phases'!$G$7:$G$12,B84))))),MAX(0,((Q83*($G83-$F83)+N('1 Setup'!$F$10)*$F83)/$G83)+('1 Setup'!$H$10*'1 Setup'!$C$10*0.00000024*$H84))))</f>
        <v/>
      </c>
      <c r="R84" s="18" t="str">
        <f aca="false">IF(OR($B84="",R83="",'1 Setup'!$C$11=""),"",IF(AND($C84="Continuous",N(INDEX('2 Phases'!$G$7:$G$12,B84))&gt;0),IF('1 Setup'!$G$11="","",MAX(0,('1 Setup'!$G$11+('1 Setup'!$H$11*'1 Setup'!$C$11*0.00000024*$H84)/N(INDEX('2 Phases'!$G$7:$G$12,B84)))+(((R83*($G83-$F83)+N('1 Setup'!$F$11)*$F83)/$G83)-('1 Setup'!$G$11+('1 Setup'!$H$11*'1 Setup'!$C$11*0.00000024*$H84)/N(INDEX('2 Phases'!$G$7:$G$12,B84))))*EXP(-N(INDEX('2 Phases'!$G$7:$G$12,B84))))),MAX(0,((R83*($G83-$F83)+N('1 Setup'!$F$11)*$F83)/$G83)+('1 Setup'!$H$11*'1 Setup'!$C$11*0.00000024*$H84))))</f>
        <v/>
      </c>
      <c r="S84" s="18" t="str">
        <f aca="false">IF(OR($B84="",S83="",'1 Setup'!$C$12=""),"",IF(AND($C84="Continuous",N(INDEX('2 Phases'!$G$7:$G$12,B84))&gt;0),IF('1 Setup'!$G$12="","",MAX(0,('1 Setup'!$G$12+('1 Setup'!$H$12*'1 Setup'!$C$12*0.00000024*$H84)/N(INDEX('2 Phases'!$G$7:$G$12,B84)))+(((S83*($G83-$F83)+N('1 Setup'!$F$12)*$F83)/$G83)-('1 Setup'!$G$12+('1 Setup'!$H$12*'1 Setup'!$C$12*0.00000024*$H84)/N(INDEX('2 Phases'!$G$7:$G$12,B84))))*EXP(-N(INDEX('2 Phases'!$G$7:$G$12,B84))))),MAX(0,((S83*($G83-$F83)+N('1 Setup'!$F$12)*$F83)/$G83)+('1 Setup'!$H$12*'1 Setup'!$C$12*0.00000024*$H84))))</f>
        <v/>
      </c>
      <c r="T84" s="18" t="str">
        <f aca="false">IF(OR($B84="",T83="",'1 Setup'!$C$13=""),"",IF(AND($C84="Continuous",N(INDEX('2 Phases'!$G$7:$G$12,B84))&gt;0),IF('1 Setup'!$G$13="","",MAX(0,('1 Setup'!$G$13+('1 Setup'!$H$13*'1 Setup'!$C$13*0.00000024*$H84)/N(INDEX('2 Phases'!$G$7:$G$12,B84)))+(((T83*($G83-$F83)+N('1 Setup'!$F$13)*$F83)/$G83)-('1 Setup'!$G$13+('1 Setup'!$H$13*'1 Setup'!$C$13*0.00000024*$H84)/N(INDEX('2 Phases'!$G$7:$G$12,B84))))*EXP(-N(INDEX('2 Phases'!$G$7:$G$12,B84))))),MAX(0,((T83*($G83-$F83)+N('1 Setup'!$F$13)*$F83)/$G83)+('1 Setup'!$H$13*'1 Setup'!$C$13*0.00000024*$H84))))</f>
        <v/>
      </c>
      <c r="U84" s="18" t="str">
        <f aca="false">IF(OR($B84="",U83="",'1 Setup'!$C$14=""),"",IF(AND($C84="Continuous",N(INDEX('2 Phases'!$G$7:$G$12,B84))&gt;0),IF('1 Setup'!$G$14="","",MAX(0,('1 Setup'!$G$14+('1 Setup'!$H$14*'1 Setup'!$C$14*0.00000024*$H84)/N(INDEX('2 Phases'!$G$7:$G$12,B84)))+(((U83*($G83-$F83)+N('1 Setup'!$F$14)*$F83)/$G83)-('1 Setup'!$G$14+('1 Setup'!$H$14*'1 Setup'!$C$14*0.00000024*$H84)/N(INDEX('2 Phases'!$G$7:$G$12,B84))))*EXP(-N(INDEX('2 Phases'!$G$7:$G$12,B84))))),MAX(0,((U83*($G83-$F83)+N('1 Setup'!$F$14)*$F83)/$G83)+('1 Setup'!$H$14*'1 Setup'!$C$14*0.00000024*$H84))))</f>
        <v/>
      </c>
      <c r="V84" s="18" t="str">
        <f aca="false">IF($B84="","",E84/1000000*'1 Setup'!$B$7)</f>
        <v/>
      </c>
      <c r="W84" s="18" t="str">
        <f aca="false">IF($B84="","",V84*G84)</f>
        <v/>
      </c>
      <c r="X84" s="18" t="str">
        <f aca="false">IF($B84="","",P84*'1 Setup'!$B$7/1000000000)</f>
        <v/>
      </c>
      <c r="Y84" s="18" t="str">
        <f aca="false">IF($B84="","",L84*'1 Setup'!$B$7/1000000000)</f>
        <v/>
      </c>
    </row>
    <row r="85" customFormat="false" ht="15" hidden="false" customHeight="false" outlineLevel="0" collapsed="false">
      <c r="A85" s="7" t="n">
        <v>79</v>
      </c>
      <c r="B85" s="7" t="str">
        <f aca="false">IF(A85&gt;'2 Phases'!$D$4,"",IF(A85=0,1,COUNTIF('2 Phases'!$M$7:$M$12,"&lt;"&amp;A85)+1))</f>
        <v/>
      </c>
      <c r="C85" s="7" t="str">
        <f aca="false">IF($B85="","",INDEX('2 Phases'!$C$7:$C$12,B85))</f>
        <v/>
      </c>
      <c r="D85" s="7" t="str">
        <f aca="false">IF($B85="","",A85-INDEX('2 Phases'!$L$7:$L$12,B85))</f>
        <v/>
      </c>
      <c r="E85" s="14" t="str">
        <f aca="false">IF($B85="","",IFERROR(IF(C85="Continuous",INDEX('2 Phases'!$N$7:$N$12,B85)*EXP((INDEX('2 Phases'!$P$7:$P$12,B85)-N(INDEX('2 Phases'!$H$7:$H$12,B85)))*D85),INDEX('2 Phases'!$N$7:$N$12,B85)*(IF(INDEX('2 Phases'!$E$7:$E$12,B85)="",INDEX('2 Phases'!$N$7:$N$12,B85),INDEX('2 Phases'!$E$7:$E$12,B85))/INDEX('2 Phases'!$N$7:$N$12,B85))^(D85/INDEX('2 Phases'!$D$7:$D$12,B85))),""))</f>
        <v/>
      </c>
      <c r="F85" s="15" t="n">
        <f aca="false">IF(OR($B85="",C85&lt;&gt;"Fed-batch",D85=0),0,IFERROR(N(INDEX('3 Feed regimes'!$B$6:$E$35,D85,MATCH(INDEX('2 Phases'!$F$7:$F$12,B85),'3 Feed regimes'!$B$4:$E$4,0)))*'1 Setup'!$B$5/100,0))</f>
        <v>0</v>
      </c>
      <c r="G85" s="15" t="str">
        <f aca="false">IF($B85="","",G84+F85)</f>
        <v/>
      </c>
      <c r="H85" s="14" t="str">
        <f aca="false">IF($B85="","",(E84+E85)/2)</f>
        <v/>
      </c>
      <c r="I85" s="15" t="str">
        <f aca="false">IF($B85="","",IF(C85="Continuous",N(INDEX('2 Phases'!$G$7:$G$12,B85))*G84,0))</f>
        <v/>
      </c>
      <c r="J85" s="15" t="str">
        <f aca="false">IF($B85="","",IF(C85="Continuous",N(INDEX('2 Phases'!$H$7:$H$12,B85))*G84,0))</f>
        <v/>
      </c>
      <c r="K85" s="15" t="str">
        <f aca="false">IF($B85="","",I85-J85)</f>
        <v/>
      </c>
      <c r="L85" s="14" t="str">
        <f aca="false">IF($B85="","",J85*1000*H85)</f>
        <v/>
      </c>
      <c r="M85" s="15" t="str">
        <f aca="false">IF($B85="","",M84+F85+I85)</f>
        <v/>
      </c>
      <c r="N85" s="15" t="str">
        <f aca="false">IF($B85="","",N84+K85)</f>
        <v/>
      </c>
      <c r="O85" s="15" t="str">
        <f aca="false">IF($B85="","",O84+J85)</f>
        <v/>
      </c>
      <c r="P85" s="14" t="str">
        <f aca="false">IF($B85="","",P84+L85)</f>
        <v/>
      </c>
      <c r="Q85" s="18" t="str">
        <f aca="false">IF(OR($B85="",Q84="",'1 Setup'!$C$10=""),"",IF(AND($C85="Continuous",N(INDEX('2 Phases'!$G$7:$G$12,B85))&gt;0),IF('1 Setup'!$G$10="","",MAX(0,('1 Setup'!$G$10+('1 Setup'!$H$10*'1 Setup'!$C$10*0.00000024*$H85)/N(INDEX('2 Phases'!$G$7:$G$12,B85)))+(((Q84*($G84-$F84)+N('1 Setup'!$F$10)*$F84)/$G84)-('1 Setup'!$G$10+('1 Setup'!$H$10*'1 Setup'!$C$10*0.00000024*$H85)/N(INDEX('2 Phases'!$G$7:$G$12,B85))))*EXP(-N(INDEX('2 Phases'!$G$7:$G$12,B85))))),MAX(0,((Q84*($G84-$F84)+N('1 Setup'!$F$10)*$F84)/$G84)+('1 Setup'!$H$10*'1 Setup'!$C$10*0.00000024*$H85))))</f>
        <v/>
      </c>
      <c r="R85" s="18" t="str">
        <f aca="false">IF(OR($B85="",R84="",'1 Setup'!$C$11=""),"",IF(AND($C85="Continuous",N(INDEX('2 Phases'!$G$7:$G$12,B85))&gt;0),IF('1 Setup'!$G$11="","",MAX(0,('1 Setup'!$G$11+('1 Setup'!$H$11*'1 Setup'!$C$11*0.00000024*$H85)/N(INDEX('2 Phases'!$G$7:$G$12,B85)))+(((R84*($G84-$F84)+N('1 Setup'!$F$11)*$F84)/$G84)-('1 Setup'!$G$11+('1 Setup'!$H$11*'1 Setup'!$C$11*0.00000024*$H85)/N(INDEX('2 Phases'!$G$7:$G$12,B85))))*EXP(-N(INDEX('2 Phases'!$G$7:$G$12,B85))))),MAX(0,((R84*($G84-$F84)+N('1 Setup'!$F$11)*$F84)/$G84)+('1 Setup'!$H$11*'1 Setup'!$C$11*0.00000024*$H85))))</f>
        <v/>
      </c>
      <c r="S85" s="18" t="str">
        <f aca="false">IF(OR($B85="",S84="",'1 Setup'!$C$12=""),"",IF(AND($C85="Continuous",N(INDEX('2 Phases'!$G$7:$G$12,B85))&gt;0),IF('1 Setup'!$G$12="","",MAX(0,('1 Setup'!$G$12+('1 Setup'!$H$12*'1 Setup'!$C$12*0.00000024*$H85)/N(INDEX('2 Phases'!$G$7:$G$12,B85)))+(((S84*($G84-$F84)+N('1 Setup'!$F$12)*$F84)/$G84)-('1 Setup'!$G$12+('1 Setup'!$H$12*'1 Setup'!$C$12*0.00000024*$H85)/N(INDEX('2 Phases'!$G$7:$G$12,B85))))*EXP(-N(INDEX('2 Phases'!$G$7:$G$12,B85))))),MAX(0,((S84*($G84-$F84)+N('1 Setup'!$F$12)*$F84)/$G84)+('1 Setup'!$H$12*'1 Setup'!$C$12*0.00000024*$H85))))</f>
        <v/>
      </c>
      <c r="T85" s="18" t="str">
        <f aca="false">IF(OR($B85="",T84="",'1 Setup'!$C$13=""),"",IF(AND($C85="Continuous",N(INDEX('2 Phases'!$G$7:$G$12,B85))&gt;0),IF('1 Setup'!$G$13="","",MAX(0,('1 Setup'!$G$13+('1 Setup'!$H$13*'1 Setup'!$C$13*0.00000024*$H85)/N(INDEX('2 Phases'!$G$7:$G$12,B85)))+(((T84*($G84-$F84)+N('1 Setup'!$F$13)*$F84)/$G84)-('1 Setup'!$G$13+('1 Setup'!$H$13*'1 Setup'!$C$13*0.00000024*$H85)/N(INDEX('2 Phases'!$G$7:$G$12,B85))))*EXP(-N(INDEX('2 Phases'!$G$7:$G$12,B85))))),MAX(0,((T84*($G84-$F84)+N('1 Setup'!$F$13)*$F84)/$G84)+('1 Setup'!$H$13*'1 Setup'!$C$13*0.00000024*$H85))))</f>
        <v/>
      </c>
      <c r="U85" s="18" t="str">
        <f aca="false">IF(OR($B85="",U84="",'1 Setup'!$C$14=""),"",IF(AND($C85="Continuous",N(INDEX('2 Phases'!$G$7:$G$12,B85))&gt;0),IF('1 Setup'!$G$14="","",MAX(0,('1 Setup'!$G$14+('1 Setup'!$H$14*'1 Setup'!$C$14*0.00000024*$H85)/N(INDEX('2 Phases'!$G$7:$G$12,B85)))+(((U84*($G84-$F84)+N('1 Setup'!$F$14)*$F84)/$G84)-('1 Setup'!$G$14+('1 Setup'!$H$14*'1 Setup'!$C$14*0.00000024*$H85)/N(INDEX('2 Phases'!$G$7:$G$12,B85))))*EXP(-N(INDEX('2 Phases'!$G$7:$G$12,B85))))),MAX(0,((U84*($G84-$F84)+N('1 Setup'!$F$14)*$F84)/$G84)+('1 Setup'!$H$14*'1 Setup'!$C$14*0.00000024*$H85))))</f>
        <v/>
      </c>
      <c r="V85" s="18" t="str">
        <f aca="false">IF($B85="","",E85/1000000*'1 Setup'!$B$7)</f>
        <v/>
      </c>
      <c r="W85" s="18" t="str">
        <f aca="false">IF($B85="","",V85*G85)</f>
        <v/>
      </c>
      <c r="X85" s="18" t="str">
        <f aca="false">IF($B85="","",P85*'1 Setup'!$B$7/1000000000)</f>
        <v/>
      </c>
      <c r="Y85" s="18" t="str">
        <f aca="false">IF($B85="","",L85*'1 Setup'!$B$7/1000000000)</f>
        <v/>
      </c>
    </row>
    <row r="86" customFormat="false" ht="15" hidden="false" customHeight="false" outlineLevel="0" collapsed="false">
      <c r="A86" s="7" t="n">
        <v>80</v>
      </c>
      <c r="B86" s="7" t="str">
        <f aca="false">IF(A86&gt;'2 Phases'!$D$4,"",IF(A86=0,1,COUNTIF('2 Phases'!$M$7:$M$12,"&lt;"&amp;A86)+1))</f>
        <v/>
      </c>
      <c r="C86" s="7" t="str">
        <f aca="false">IF($B86="","",INDEX('2 Phases'!$C$7:$C$12,B86))</f>
        <v/>
      </c>
      <c r="D86" s="7" t="str">
        <f aca="false">IF($B86="","",A86-INDEX('2 Phases'!$L$7:$L$12,B86))</f>
        <v/>
      </c>
      <c r="E86" s="14" t="str">
        <f aca="false">IF($B86="","",IFERROR(IF(C86="Continuous",INDEX('2 Phases'!$N$7:$N$12,B86)*EXP((INDEX('2 Phases'!$P$7:$P$12,B86)-N(INDEX('2 Phases'!$H$7:$H$12,B86)))*D86),INDEX('2 Phases'!$N$7:$N$12,B86)*(IF(INDEX('2 Phases'!$E$7:$E$12,B86)="",INDEX('2 Phases'!$N$7:$N$12,B86),INDEX('2 Phases'!$E$7:$E$12,B86))/INDEX('2 Phases'!$N$7:$N$12,B86))^(D86/INDEX('2 Phases'!$D$7:$D$12,B86))),""))</f>
        <v/>
      </c>
      <c r="F86" s="15" t="n">
        <f aca="false">IF(OR($B86="",C86&lt;&gt;"Fed-batch",D86=0),0,IFERROR(N(INDEX('3 Feed regimes'!$B$6:$E$35,D86,MATCH(INDEX('2 Phases'!$F$7:$F$12,B86),'3 Feed regimes'!$B$4:$E$4,0)))*'1 Setup'!$B$5/100,0))</f>
        <v>0</v>
      </c>
      <c r="G86" s="15" t="str">
        <f aca="false">IF($B86="","",G85+F86)</f>
        <v/>
      </c>
      <c r="H86" s="14" t="str">
        <f aca="false">IF($B86="","",(E85+E86)/2)</f>
        <v/>
      </c>
      <c r="I86" s="15" t="str">
        <f aca="false">IF($B86="","",IF(C86="Continuous",N(INDEX('2 Phases'!$G$7:$G$12,B86))*G85,0))</f>
        <v/>
      </c>
      <c r="J86" s="15" t="str">
        <f aca="false">IF($B86="","",IF(C86="Continuous",N(INDEX('2 Phases'!$H$7:$H$12,B86))*G85,0))</f>
        <v/>
      </c>
      <c r="K86" s="15" t="str">
        <f aca="false">IF($B86="","",I86-J86)</f>
        <v/>
      </c>
      <c r="L86" s="14" t="str">
        <f aca="false">IF($B86="","",J86*1000*H86)</f>
        <v/>
      </c>
      <c r="M86" s="15" t="str">
        <f aca="false">IF($B86="","",M85+F86+I86)</f>
        <v/>
      </c>
      <c r="N86" s="15" t="str">
        <f aca="false">IF($B86="","",N85+K86)</f>
        <v/>
      </c>
      <c r="O86" s="15" t="str">
        <f aca="false">IF($B86="","",O85+J86)</f>
        <v/>
      </c>
      <c r="P86" s="14" t="str">
        <f aca="false">IF($B86="","",P85+L86)</f>
        <v/>
      </c>
      <c r="Q86" s="18" t="str">
        <f aca="false">IF(OR($B86="",Q85="",'1 Setup'!$C$10=""),"",IF(AND($C86="Continuous",N(INDEX('2 Phases'!$G$7:$G$12,B86))&gt;0),IF('1 Setup'!$G$10="","",MAX(0,('1 Setup'!$G$10+('1 Setup'!$H$10*'1 Setup'!$C$10*0.00000024*$H86)/N(INDEX('2 Phases'!$G$7:$G$12,B86)))+(((Q85*($G85-$F85)+N('1 Setup'!$F$10)*$F85)/$G85)-('1 Setup'!$G$10+('1 Setup'!$H$10*'1 Setup'!$C$10*0.00000024*$H86)/N(INDEX('2 Phases'!$G$7:$G$12,B86))))*EXP(-N(INDEX('2 Phases'!$G$7:$G$12,B86))))),MAX(0,((Q85*($G85-$F85)+N('1 Setup'!$F$10)*$F85)/$G85)+('1 Setup'!$H$10*'1 Setup'!$C$10*0.00000024*$H86))))</f>
        <v/>
      </c>
      <c r="R86" s="18" t="str">
        <f aca="false">IF(OR($B86="",R85="",'1 Setup'!$C$11=""),"",IF(AND($C86="Continuous",N(INDEX('2 Phases'!$G$7:$G$12,B86))&gt;0),IF('1 Setup'!$G$11="","",MAX(0,('1 Setup'!$G$11+('1 Setup'!$H$11*'1 Setup'!$C$11*0.00000024*$H86)/N(INDEX('2 Phases'!$G$7:$G$12,B86)))+(((R85*($G85-$F85)+N('1 Setup'!$F$11)*$F85)/$G85)-('1 Setup'!$G$11+('1 Setup'!$H$11*'1 Setup'!$C$11*0.00000024*$H86)/N(INDEX('2 Phases'!$G$7:$G$12,B86))))*EXP(-N(INDEX('2 Phases'!$G$7:$G$12,B86))))),MAX(0,((R85*($G85-$F85)+N('1 Setup'!$F$11)*$F85)/$G85)+('1 Setup'!$H$11*'1 Setup'!$C$11*0.00000024*$H86))))</f>
        <v/>
      </c>
      <c r="S86" s="18" t="str">
        <f aca="false">IF(OR($B86="",S85="",'1 Setup'!$C$12=""),"",IF(AND($C86="Continuous",N(INDEX('2 Phases'!$G$7:$G$12,B86))&gt;0),IF('1 Setup'!$G$12="","",MAX(0,('1 Setup'!$G$12+('1 Setup'!$H$12*'1 Setup'!$C$12*0.00000024*$H86)/N(INDEX('2 Phases'!$G$7:$G$12,B86)))+(((S85*($G85-$F85)+N('1 Setup'!$F$12)*$F85)/$G85)-('1 Setup'!$G$12+('1 Setup'!$H$12*'1 Setup'!$C$12*0.00000024*$H86)/N(INDEX('2 Phases'!$G$7:$G$12,B86))))*EXP(-N(INDEX('2 Phases'!$G$7:$G$12,B86))))),MAX(0,((S85*($G85-$F85)+N('1 Setup'!$F$12)*$F85)/$G85)+('1 Setup'!$H$12*'1 Setup'!$C$12*0.00000024*$H86))))</f>
        <v/>
      </c>
      <c r="T86" s="18" t="str">
        <f aca="false">IF(OR($B86="",T85="",'1 Setup'!$C$13=""),"",IF(AND($C86="Continuous",N(INDEX('2 Phases'!$G$7:$G$12,B86))&gt;0),IF('1 Setup'!$G$13="","",MAX(0,('1 Setup'!$G$13+('1 Setup'!$H$13*'1 Setup'!$C$13*0.00000024*$H86)/N(INDEX('2 Phases'!$G$7:$G$12,B86)))+(((T85*($G85-$F85)+N('1 Setup'!$F$13)*$F85)/$G85)-('1 Setup'!$G$13+('1 Setup'!$H$13*'1 Setup'!$C$13*0.00000024*$H86)/N(INDEX('2 Phases'!$G$7:$G$12,B86))))*EXP(-N(INDEX('2 Phases'!$G$7:$G$12,B86))))),MAX(0,((T85*($G85-$F85)+N('1 Setup'!$F$13)*$F85)/$G85)+('1 Setup'!$H$13*'1 Setup'!$C$13*0.00000024*$H86))))</f>
        <v/>
      </c>
      <c r="U86" s="18" t="str">
        <f aca="false">IF(OR($B86="",U85="",'1 Setup'!$C$14=""),"",IF(AND($C86="Continuous",N(INDEX('2 Phases'!$G$7:$G$12,B86))&gt;0),IF('1 Setup'!$G$14="","",MAX(0,('1 Setup'!$G$14+('1 Setup'!$H$14*'1 Setup'!$C$14*0.00000024*$H86)/N(INDEX('2 Phases'!$G$7:$G$12,B86)))+(((U85*($G85-$F85)+N('1 Setup'!$F$14)*$F85)/$G85)-('1 Setup'!$G$14+('1 Setup'!$H$14*'1 Setup'!$C$14*0.00000024*$H86)/N(INDEX('2 Phases'!$G$7:$G$12,B86))))*EXP(-N(INDEX('2 Phases'!$G$7:$G$12,B86))))),MAX(0,((U85*($G85-$F85)+N('1 Setup'!$F$14)*$F85)/$G85)+('1 Setup'!$H$14*'1 Setup'!$C$14*0.00000024*$H86))))</f>
        <v/>
      </c>
      <c r="V86" s="18" t="str">
        <f aca="false">IF($B86="","",E86/1000000*'1 Setup'!$B$7)</f>
        <v/>
      </c>
      <c r="W86" s="18" t="str">
        <f aca="false">IF($B86="","",V86*G86)</f>
        <v/>
      </c>
      <c r="X86" s="18" t="str">
        <f aca="false">IF($B86="","",P86*'1 Setup'!$B$7/1000000000)</f>
        <v/>
      </c>
      <c r="Y86" s="18" t="str">
        <f aca="false">IF($B86="","",L86*'1 Setup'!$B$7/1000000000)</f>
        <v/>
      </c>
    </row>
    <row r="87" customFormat="false" ht="15" hidden="false" customHeight="false" outlineLevel="0" collapsed="false">
      <c r="A87" s="7" t="n">
        <v>81</v>
      </c>
      <c r="B87" s="7" t="str">
        <f aca="false">IF(A87&gt;'2 Phases'!$D$4,"",IF(A87=0,1,COUNTIF('2 Phases'!$M$7:$M$12,"&lt;"&amp;A87)+1))</f>
        <v/>
      </c>
      <c r="C87" s="7" t="str">
        <f aca="false">IF($B87="","",INDEX('2 Phases'!$C$7:$C$12,B87))</f>
        <v/>
      </c>
      <c r="D87" s="7" t="str">
        <f aca="false">IF($B87="","",A87-INDEX('2 Phases'!$L$7:$L$12,B87))</f>
        <v/>
      </c>
      <c r="E87" s="14" t="str">
        <f aca="false">IF($B87="","",IFERROR(IF(C87="Continuous",INDEX('2 Phases'!$N$7:$N$12,B87)*EXP((INDEX('2 Phases'!$P$7:$P$12,B87)-N(INDEX('2 Phases'!$H$7:$H$12,B87)))*D87),INDEX('2 Phases'!$N$7:$N$12,B87)*(IF(INDEX('2 Phases'!$E$7:$E$12,B87)="",INDEX('2 Phases'!$N$7:$N$12,B87),INDEX('2 Phases'!$E$7:$E$12,B87))/INDEX('2 Phases'!$N$7:$N$12,B87))^(D87/INDEX('2 Phases'!$D$7:$D$12,B87))),""))</f>
        <v/>
      </c>
      <c r="F87" s="15" t="n">
        <f aca="false">IF(OR($B87="",C87&lt;&gt;"Fed-batch",D87=0),0,IFERROR(N(INDEX('3 Feed regimes'!$B$6:$E$35,D87,MATCH(INDEX('2 Phases'!$F$7:$F$12,B87),'3 Feed regimes'!$B$4:$E$4,0)))*'1 Setup'!$B$5/100,0))</f>
        <v>0</v>
      </c>
      <c r="G87" s="15" t="str">
        <f aca="false">IF($B87="","",G86+F87)</f>
        <v/>
      </c>
      <c r="H87" s="14" t="str">
        <f aca="false">IF($B87="","",(E86+E87)/2)</f>
        <v/>
      </c>
      <c r="I87" s="15" t="str">
        <f aca="false">IF($B87="","",IF(C87="Continuous",N(INDEX('2 Phases'!$G$7:$G$12,B87))*G86,0))</f>
        <v/>
      </c>
      <c r="J87" s="15" t="str">
        <f aca="false">IF($B87="","",IF(C87="Continuous",N(INDEX('2 Phases'!$H$7:$H$12,B87))*G86,0))</f>
        <v/>
      </c>
      <c r="K87" s="15" t="str">
        <f aca="false">IF($B87="","",I87-J87)</f>
        <v/>
      </c>
      <c r="L87" s="14" t="str">
        <f aca="false">IF($B87="","",J87*1000*H87)</f>
        <v/>
      </c>
      <c r="M87" s="15" t="str">
        <f aca="false">IF($B87="","",M86+F87+I87)</f>
        <v/>
      </c>
      <c r="N87" s="15" t="str">
        <f aca="false">IF($B87="","",N86+K87)</f>
        <v/>
      </c>
      <c r="O87" s="15" t="str">
        <f aca="false">IF($B87="","",O86+J87)</f>
        <v/>
      </c>
      <c r="P87" s="14" t="str">
        <f aca="false">IF($B87="","",P86+L87)</f>
        <v/>
      </c>
      <c r="Q87" s="18" t="str">
        <f aca="false">IF(OR($B87="",Q86="",'1 Setup'!$C$10=""),"",IF(AND($C87="Continuous",N(INDEX('2 Phases'!$G$7:$G$12,B87))&gt;0),IF('1 Setup'!$G$10="","",MAX(0,('1 Setup'!$G$10+('1 Setup'!$H$10*'1 Setup'!$C$10*0.00000024*$H87)/N(INDEX('2 Phases'!$G$7:$G$12,B87)))+(((Q86*($G86-$F86)+N('1 Setup'!$F$10)*$F86)/$G86)-('1 Setup'!$G$10+('1 Setup'!$H$10*'1 Setup'!$C$10*0.00000024*$H87)/N(INDEX('2 Phases'!$G$7:$G$12,B87))))*EXP(-N(INDEX('2 Phases'!$G$7:$G$12,B87))))),MAX(0,((Q86*($G86-$F86)+N('1 Setup'!$F$10)*$F86)/$G86)+('1 Setup'!$H$10*'1 Setup'!$C$10*0.00000024*$H87))))</f>
        <v/>
      </c>
      <c r="R87" s="18" t="str">
        <f aca="false">IF(OR($B87="",R86="",'1 Setup'!$C$11=""),"",IF(AND($C87="Continuous",N(INDEX('2 Phases'!$G$7:$G$12,B87))&gt;0),IF('1 Setup'!$G$11="","",MAX(0,('1 Setup'!$G$11+('1 Setup'!$H$11*'1 Setup'!$C$11*0.00000024*$H87)/N(INDEX('2 Phases'!$G$7:$G$12,B87)))+(((R86*($G86-$F86)+N('1 Setup'!$F$11)*$F86)/$G86)-('1 Setup'!$G$11+('1 Setup'!$H$11*'1 Setup'!$C$11*0.00000024*$H87)/N(INDEX('2 Phases'!$G$7:$G$12,B87))))*EXP(-N(INDEX('2 Phases'!$G$7:$G$12,B87))))),MAX(0,((R86*($G86-$F86)+N('1 Setup'!$F$11)*$F86)/$G86)+('1 Setup'!$H$11*'1 Setup'!$C$11*0.00000024*$H87))))</f>
        <v/>
      </c>
      <c r="S87" s="18" t="str">
        <f aca="false">IF(OR($B87="",S86="",'1 Setup'!$C$12=""),"",IF(AND($C87="Continuous",N(INDEX('2 Phases'!$G$7:$G$12,B87))&gt;0),IF('1 Setup'!$G$12="","",MAX(0,('1 Setup'!$G$12+('1 Setup'!$H$12*'1 Setup'!$C$12*0.00000024*$H87)/N(INDEX('2 Phases'!$G$7:$G$12,B87)))+(((S86*($G86-$F86)+N('1 Setup'!$F$12)*$F86)/$G86)-('1 Setup'!$G$12+('1 Setup'!$H$12*'1 Setup'!$C$12*0.00000024*$H87)/N(INDEX('2 Phases'!$G$7:$G$12,B87))))*EXP(-N(INDEX('2 Phases'!$G$7:$G$12,B87))))),MAX(0,((S86*($G86-$F86)+N('1 Setup'!$F$12)*$F86)/$G86)+('1 Setup'!$H$12*'1 Setup'!$C$12*0.00000024*$H87))))</f>
        <v/>
      </c>
      <c r="T87" s="18" t="str">
        <f aca="false">IF(OR($B87="",T86="",'1 Setup'!$C$13=""),"",IF(AND($C87="Continuous",N(INDEX('2 Phases'!$G$7:$G$12,B87))&gt;0),IF('1 Setup'!$G$13="","",MAX(0,('1 Setup'!$G$13+('1 Setup'!$H$13*'1 Setup'!$C$13*0.00000024*$H87)/N(INDEX('2 Phases'!$G$7:$G$12,B87)))+(((T86*($G86-$F86)+N('1 Setup'!$F$13)*$F86)/$G86)-('1 Setup'!$G$13+('1 Setup'!$H$13*'1 Setup'!$C$13*0.00000024*$H87)/N(INDEX('2 Phases'!$G$7:$G$12,B87))))*EXP(-N(INDEX('2 Phases'!$G$7:$G$12,B87))))),MAX(0,((T86*($G86-$F86)+N('1 Setup'!$F$13)*$F86)/$G86)+('1 Setup'!$H$13*'1 Setup'!$C$13*0.00000024*$H87))))</f>
        <v/>
      </c>
      <c r="U87" s="18" t="str">
        <f aca="false">IF(OR($B87="",U86="",'1 Setup'!$C$14=""),"",IF(AND($C87="Continuous",N(INDEX('2 Phases'!$G$7:$G$12,B87))&gt;0),IF('1 Setup'!$G$14="","",MAX(0,('1 Setup'!$G$14+('1 Setup'!$H$14*'1 Setup'!$C$14*0.00000024*$H87)/N(INDEX('2 Phases'!$G$7:$G$12,B87)))+(((U86*($G86-$F86)+N('1 Setup'!$F$14)*$F86)/$G86)-('1 Setup'!$G$14+('1 Setup'!$H$14*'1 Setup'!$C$14*0.00000024*$H87)/N(INDEX('2 Phases'!$G$7:$G$12,B87))))*EXP(-N(INDEX('2 Phases'!$G$7:$G$12,B87))))),MAX(0,((U86*($G86-$F86)+N('1 Setup'!$F$14)*$F86)/$G86)+('1 Setup'!$H$14*'1 Setup'!$C$14*0.00000024*$H87))))</f>
        <v/>
      </c>
      <c r="V87" s="18" t="str">
        <f aca="false">IF($B87="","",E87/1000000*'1 Setup'!$B$7)</f>
        <v/>
      </c>
      <c r="W87" s="18" t="str">
        <f aca="false">IF($B87="","",V87*G87)</f>
        <v/>
      </c>
      <c r="X87" s="18" t="str">
        <f aca="false">IF($B87="","",P87*'1 Setup'!$B$7/1000000000)</f>
        <v/>
      </c>
      <c r="Y87" s="18" t="str">
        <f aca="false">IF($B87="","",L87*'1 Setup'!$B$7/1000000000)</f>
        <v/>
      </c>
    </row>
    <row r="88" customFormat="false" ht="15" hidden="false" customHeight="false" outlineLevel="0" collapsed="false">
      <c r="A88" s="7" t="n">
        <v>82</v>
      </c>
      <c r="B88" s="7" t="str">
        <f aca="false">IF(A88&gt;'2 Phases'!$D$4,"",IF(A88=0,1,COUNTIF('2 Phases'!$M$7:$M$12,"&lt;"&amp;A88)+1))</f>
        <v/>
      </c>
      <c r="C88" s="7" t="str">
        <f aca="false">IF($B88="","",INDEX('2 Phases'!$C$7:$C$12,B88))</f>
        <v/>
      </c>
      <c r="D88" s="7" t="str">
        <f aca="false">IF($B88="","",A88-INDEX('2 Phases'!$L$7:$L$12,B88))</f>
        <v/>
      </c>
      <c r="E88" s="14" t="str">
        <f aca="false">IF($B88="","",IFERROR(IF(C88="Continuous",INDEX('2 Phases'!$N$7:$N$12,B88)*EXP((INDEX('2 Phases'!$P$7:$P$12,B88)-N(INDEX('2 Phases'!$H$7:$H$12,B88)))*D88),INDEX('2 Phases'!$N$7:$N$12,B88)*(IF(INDEX('2 Phases'!$E$7:$E$12,B88)="",INDEX('2 Phases'!$N$7:$N$12,B88),INDEX('2 Phases'!$E$7:$E$12,B88))/INDEX('2 Phases'!$N$7:$N$12,B88))^(D88/INDEX('2 Phases'!$D$7:$D$12,B88))),""))</f>
        <v/>
      </c>
      <c r="F88" s="15" t="n">
        <f aca="false">IF(OR($B88="",C88&lt;&gt;"Fed-batch",D88=0),0,IFERROR(N(INDEX('3 Feed regimes'!$B$6:$E$35,D88,MATCH(INDEX('2 Phases'!$F$7:$F$12,B88),'3 Feed regimes'!$B$4:$E$4,0)))*'1 Setup'!$B$5/100,0))</f>
        <v>0</v>
      </c>
      <c r="G88" s="15" t="str">
        <f aca="false">IF($B88="","",G87+F88)</f>
        <v/>
      </c>
      <c r="H88" s="14" t="str">
        <f aca="false">IF($B88="","",(E87+E88)/2)</f>
        <v/>
      </c>
      <c r="I88" s="15" t="str">
        <f aca="false">IF($B88="","",IF(C88="Continuous",N(INDEX('2 Phases'!$G$7:$G$12,B88))*G87,0))</f>
        <v/>
      </c>
      <c r="J88" s="15" t="str">
        <f aca="false">IF($B88="","",IF(C88="Continuous",N(INDEX('2 Phases'!$H$7:$H$12,B88))*G87,0))</f>
        <v/>
      </c>
      <c r="K88" s="15" t="str">
        <f aca="false">IF($B88="","",I88-J88)</f>
        <v/>
      </c>
      <c r="L88" s="14" t="str">
        <f aca="false">IF($B88="","",J88*1000*H88)</f>
        <v/>
      </c>
      <c r="M88" s="15" t="str">
        <f aca="false">IF($B88="","",M87+F88+I88)</f>
        <v/>
      </c>
      <c r="N88" s="15" t="str">
        <f aca="false">IF($B88="","",N87+K88)</f>
        <v/>
      </c>
      <c r="O88" s="15" t="str">
        <f aca="false">IF($B88="","",O87+J88)</f>
        <v/>
      </c>
      <c r="P88" s="14" t="str">
        <f aca="false">IF($B88="","",P87+L88)</f>
        <v/>
      </c>
      <c r="Q88" s="18" t="str">
        <f aca="false">IF(OR($B88="",Q87="",'1 Setup'!$C$10=""),"",IF(AND($C88="Continuous",N(INDEX('2 Phases'!$G$7:$G$12,B88))&gt;0),IF('1 Setup'!$G$10="","",MAX(0,('1 Setup'!$G$10+('1 Setup'!$H$10*'1 Setup'!$C$10*0.00000024*$H88)/N(INDEX('2 Phases'!$G$7:$G$12,B88)))+(((Q87*($G87-$F87)+N('1 Setup'!$F$10)*$F87)/$G87)-('1 Setup'!$G$10+('1 Setup'!$H$10*'1 Setup'!$C$10*0.00000024*$H88)/N(INDEX('2 Phases'!$G$7:$G$12,B88))))*EXP(-N(INDEX('2 Phases'!$G$7:$G$12,B88))))),MAX(0,((Q87*($G87-$F87)+N('1 Setup'!$F$10)*$F87)/$G87)+('1 Setup'!$H$10*'1 Setup'!$C$10*0.00000024*$H88))))</f>
        <v/>
      </c>
      <c r="R88" s="18" t="str">
        <f aca="false">IF(OR($B88="",R87="",'1 Setup'!$C$11=""),"",IF(AND($C88="Continuous",N(INDEX('2 Phases'!$G$7:$G$12,B88))&gt;0),IF('1 Setup'!$G$11="","",MAX(0,('1 Setup'!$G$11+('1 Setup'!$H$11*'1 Setup'!$C$11*0.00000024*$H88)/N(INDEX('2 Phases'!$G$7:$G$12,B88)))+(((R87*($G87-$F87)+N('1 Setup'!$F$11)*$F87)/$G87)-('1 Setup'!$G$11+('1 Setup'!$H$11*'1 Setup'!$C$11*0.00000024*$H88)/N(INDEX('2 Phases'!$G$7:$G$12,B88))))*EXP(-N(INDEX('2 Phases'!$G$7:$G$12,B88))))),MAX(0,((R87*($G87-$F87)+N('1 Setup'!$F$11)*$F87)/$G87)+('1 Setup'!$H$11*'1 Setup'!$C$11*0.00000024*$H88))))</f>
        <v/>
      </c>
      <c r="S88" s="18" t="str">
        <f aca="false">IF(OR($B88="",S87="",'1 Setup'!$C$12=""),"",IF(AND($C88="Continuous",N(INDEX('2 Phases'!$G$7:$G$12,B88))&gt;0),IF('1 Setup'!$G$12="","",MAX(0,('1 Setup'!$G$12+('1 Setup'!$H$12*'1 Setup'!$C$12*0.00000024*$H88)/N(INDEX('2 Phases'!$G$7:$G$12,B88)))+(((S87*($G87-$F87)+N('1 Setup'!$F$12)*$F87)/$G87)-('1 Setup'!$G$12+('1 Setup'!$H$12*'1 Setup'!$C$12*0.00000024*$H88)/N(INDEX('2 Phases'!$G$7:$G$12,B88))))*EXP(-N(INDEX('2 Phases'!$G$7:$G$12,B88))))),MAX(0,((S87*($G87-$F87)+N('1 Setup'!$F$12)*$F87)/$G87)+('1 Setup'!$H$12*'1 Setup'!$C$12*0.00000024*$H88))))</f>
        <v/>
      </c>
      <c r="T88" s="18" t="str">
        <f aca="false">IF(OR($B88="",T87="",'1 Setup'!$C$13=""),"",IF(AND($C88="Continuous",N(INDEX('2 Phases'!$G$7:$G$12,B88))&gt;0),IF('1 Setup'!$G$13="","",MAX(0,('1 Setup'!$G$13+('1 Setup'!$H$13*'1 Setup'!$C$13*0.00000024*$H88)/N(INDEX('2 Phases'!$G$7:$G$12,B88)))+(((T87*($G87-$F87)+N('1 Setup'!$F$13)*$F87)/$G87)-('1 Setup'!$G$13+('1 Setup'!$H$13*'1 Setup'!$C$13*0.00000024*$H88)/N(INDEX('2 Phases'!$G$7:$G$12,B88))))*EXP(-N(INDEX('2 Phases'!$G$7:$G$12,B88))))),MAX(0,((T87*($G87-$F87)+N('1 Setup'!$F$13)*$F87)/$G87)+('1 Setup'!$H$13*'1 Setup'!$C$13*0.00000024*$H88))))</f>
        <v/>
      </c>
      <c r="U88" s="18" t="str">
        <f aca="false">IF(OR($B88="",U87="",'1 Setup'!$C$14=""),"",IF(AND($C88="Continuous",N(INDEX('2 Phases'!$G$7:$G$12,B88))&gt;0),IF('1 Setup'!$G$14="","",MAX(0,('1 Setup'!$G$14+('1 Setup'!$H$14*'1 Setup'!$C$14*0.00000024*$H88)/N(INDEX('2 Phases'!$G$7:$G$12,B88)))+(((U87*($G87-$F87)+N('1 Setup'!$F$14)*$F87)/$G87)-('1 Setup'!$G$14+('1 Setup'!$H$14*'1 Setup'!$C$14*0.00000024*$H88)/N(INDEX('2 Phases'!$G$7:$G$12,B88))))*EXP(-N(INDEX('2 Phases'!$G$7:$G$12,B88))))),MAX(0,((U87*($G87-$F87)+N('1 Setup'!$F$14)*$F87)/$G87)+('1 Setup'!$H$14*'1 Setup'!$C$14*0.00000024*$H88))))</f>
        <v/>
      </c>
      <c r="V88" s="18" t="str">
        <f aca="false">IF($B88="","",E88/1000000*'1 Setup'!$B$7)</f>
        <v/>
      </c>
      <c r="W88" s="18" t="str">
        <f aca="false">IF($B88="","",V88*G88)</f>
        <v/>
      </c>
      <c r="X88" s="18" t="str">
        <f aca="false">IF($B88="","",P88*'1 Setup'!$B$7/1000000000)</f>
        <v/>
      </c>
      <c r="Y88" s="18" t="str">
        <f aca="false">IF($B88="","",L88*'1 Setup'!$B$7/1000000000)</f>
        <v/>
      </c>
    </row>
    <row r="89" customFormat="false" ht="15" hidden="false" customHeight="false" outlineLevel="0" collapsed="false">
      <c r="A89" s="7" t="n">
        <v>83</v>
      </c>
      <c r="B89" s="7" t="str">
        <f aca="false">IF(A89&gt;'2 Phases'!$D$4,"",IF(A89=0,1,COUNTIF('2 Phases'!$M$7:$M$12,"&lt;"&amp;A89)+1))</f>
        <v/>
      </c>
      <c r="C89" s="7" t="str">
        <f aca="false">IF($B89="","",INDEX('2 Phases'!$C$7:$C$12,B89))</f>
        <v/>
      </c>
      <c r="D89" s="7" t="str">
        <f aca="false">IF($B89="","",A89-INDEX('2 Phases'!$L$7:$L$12,B89))</f>
        <v/>
      </c>
      <c r="E89" s="14" t="str">
        <f aca="false">IF($B89="","",IFERROR(IF(C89="Continuous",INDEX('2 Phases'!$N$7:$N$12,B89)*EXP((INDEX('2 Phases'!$P$7:$P$12,B89)-N(INDEX('2 Phases'!$H$7:$H$12,B89)))*D89),INDEX('2 Phases'!$N$7:$N$12,B89)*(IF(INDEX('2 Phases'!$E$7:$E$12,B89)="",INDEX('2 Phases'!$N$7:$N$12,B89),INDEX('2 Phases'!$E$7:$E$12,B89))/INDEX('2 Phases'!$N$7:$N$12,B89))^(D89/INDEX('2 Phases'!$D$7:$D$12,B89))),""))</f>
        <v/>
      </c>
      <c r="F89" s="15" t="n">
        <f aca="false">IF(OR($B89="",C89&lt;&gt;"Fed-batch",D89=0),0,IFERROR(N(INDEX('3 Feed regimes'!$B$6:$E$35,D89,MATCH(INDEX('2 Phases'!$F$7:$F$12,B89),'3 Feed regimes'!$B$4:$E$4,0)))*'1 Setup'!$B$5/100,0))</f>
        <v>0</v>
      </c>
      <c r="G89" s="15" t="str">
        <f aca="false">IF($B89="","",G88+F89)</f>
        <v/>
      </c>
      <c r="H89" s="14" t="str">
        <f aca="false">IF($B89="","",(E88+E89)/2)</f>
        <v/>
      </c>
      <c r="I89" s="15" t="str">
        <f aca="false">IF($B89="","",IF(C89="Continuous",N(INDEX('2 Phases'!$G$7:$G$12,B89))*G88,0))</f>
        <v/>
      </c>
      <c r="J89" s="15" t="str">
        <f aca="false">IF($B89="","",IF(C89="Continuous",N(INDEX('2 Phases'!$H$7:$H$12,B89))*G88,0))</f>
        <v/>
      </c>
      <c r="K89" s="15" t="str">
        <f aca="false">IF($B89="","",I89-J89)</f>
        <v/>
      </c>
      <c r="L89" s="14" t="str">
        <f aca="false">IF($B89="","",J89*1000*H89)</f>
        <v/>
      </c>
      <c r="M89" s="15" t="str">
        <f aca="false">IF($B89="","",M88+F89+I89)</f>
        <v/>
      </c>
      <c r="N89" s="15" t="str">
        <f aca="false">IF($B89="","",N88+K89)</f>
        <v/>
      </c>
      <c r="O89" s="15" t="str">
        <f aca="false">IF($B89="","",O88+J89)</f>
        <v/>
      </c>
      <c r="P89" s="14" t="str">
        <f aca="false">IF($B89="","",P88+L89)</f>
        <v/>
      </c>
      <c r="Q89" s="18" t="str">
        <f aca="false">IF(OR($B89="",Q88="",'1 Setup'!$C$10=""),"",IF(AND($C89="Continuous",N(INDEX('2 Phases'!$G$7:$G$12,B89))&gt;0),IF('1 Setup'!$G$10="","",MAX(0,('1 Setup'!$G$10+('1 Setup'!$H$10*'1 Setup'!$C$10*0.00000024*$H89)/N(INDEX('2 Phases'!$G$7:$G$12,B89)))+(((Q88*($G88-$F88)+N('1 Setup'!$F$10)*$F88)/$G88)-('1 Setup'!$G$10+('1 Setup'!$H$10*'1 Setup'!$C$10*0.00000024*$H89)/N(INDEX('2 Phases'!$G$7:$G$12,B89))))*EXP(-N(INDEX('2 Phases'!$G$7:$G$12,B89))))),MAX(0,((Q88*($G88-$F88)+N('1 Setup'!$F$10)*$F88)/$G88)+('1 Setup'!$H$10*'1 Setup'!$C$10*0.00000024*$H89))))</f>
        <v/>
      </c>
      <c r="R89" s="18" t="str">
        <f aca="false">IF(OR($B89="",R88="",'1 Setup'!$C$11=""),"",IF(AND($C89="Continuous",N(INDEX('2 Phases'!$G$7:$G$12,B89))&gt;0),IF('1 Setup'!$G$11="","",MAX(0,('1 Setup'!$G$11+('1 Setup'!$H$11*'1 Setup'!$C$11*0.00000024*$H89)/N(INDEX('2 Phases'!$G$7:$G$12,B89)))+(((R88*($G88-$F88)+N('1 Setup'!$F$11)*$F88)/$G88)-('1 Setup'!$G$11+('1 Setup'!$H$11*'1 Setup'!$C$11*0.00000024*$H89)/N(INDEX('2 Phases'!$G$7:$G$12,B89))))*EXP(-N(INDEX('2 Phases'!$G$7:$G$12,B89))))),MAX(0,((R88*($G88-$F88)+N('1 Setup'!$F$11)*$F88)/$G88)+('1 Setup'!$H$11*'1 Setup'!$C$11*0.00000024*$H89))))</f>
        <v/>
      </c>
      <c r="S89" s="18" t="str">
        <f aca="false">IF(OR($B89="",S88="",'1 Setup'!$C$12=""),"",IF(AND($C89="Continuous",N(INDEX('2 Phases'!$G$7:$G$12,B89))&gt;0),IF('1 Setup'!$G$12="","",MAX(0,('1 Setup'!$G$12+('1 Setup'!$H$12*'1 Setup'!$C$12*0.00000024*$H89)/N(INDEX('2 Phases'!$G$7:$G$12,B89)))+(((S88*($G88-$F88)+N('1 Setup'!$F$12)*$F88)/$G88)-('1 Setup'!$G$12+('1 Setup'!$H$12*'1 Setup'!$C$12*0.00000024*$H89)/N(INDEX('2 Phases'!$G$7:$G$12,B89))))*EXP(-N(INDEX('2 Phases'!$G$7:$G$12,B89))))),MAX(0,((S88*($G88-$F88)+N('1 Setup'!$F$12)*$F88)/$G88)+('1 Setup'!$H$12*'1 Setup'!$C$12*0.00000024*$H89))))</f>
        <v/>
      </c>
      <c r="T89" s="18" t="str">
        <f aca="false">IF(OR($B89="",T88="",'1 Setup'!$C$13=""),"",IF(AND($C89="Continuous",N(INDEX('2 Phases'!$G$7:$G$12,B89))&gt;0),IF('1 Setup'!$G$13="","",MAX(0,('1 Setup'!$G$13+('1 Setup'!$H$13*'1 Setup'!$C$13*0.00000024*$H89)/N(INDEX('2 Phases'!$G$7:$G$12,B89)))+(((T88*($G88-$F88)+N('1 Setup'!$F$13)*$F88)/$G88)-('1 Setup'!$G$13+('1 Setup'!$H$13*'1 Setup'!$C$13*0.00000024*$H89)/N(INDEX('2 Phases'!$G$7:$G$12,B89))))*EXP(-N(INDEX('2 Phases'!$G$7:$G$12,B89))))),MAX(0,((T88*($G88-$F88)+N('1 Setup'!$F$13)*$F88)/$G88)+('1 Setup'!$H$13*'1 Setup'!$C$13*0.00000024*$H89))))</f>
        <v/>
      </c>
      <c r="U89" s="18" t="str">
        <f aca="false">IF(OR($B89="",U88="",'1 Setup'!$C$14=""),"",IF(AND($C89="Continuous",N(INDEX('2 Phases'!$G$7:$G$12,B89))&gt;0),IF('1 Setup'!$G$14="","",MAX(0,('1 Setup'!$G$14+('1 Setup'!$H$14*'1 Setup'!$C$14*0.00000024*$H89)/N(INDEX('2 Phases'!$G$7:$G$12,B89)))+(((U88*($G88-$F88)+N('1 Setup'!$F$14)*$F88)/$G88)-('1 Setup'!$G$14+('1 Setup'!$H$14*'1 Setup'!$C$14*0.00000024*$H89)/N(INDEX('2 Phases'!$G$7:$G$12,B89))))*EXP(-N(INDEX('2 Phases'!$G$7:$G$12,B89))))),MAX(0,((U88*($G88-$F88)+N('1 Setup'!$F$14)*$F88)/$G88)+('1 Setup'!$H$14*'1 Setup'!$C$14*0.00000024*$H89))))</f>
        <v/>
      </c>
      <c r="V89" s="18" t="str">
        <f aca="false">IF($B89="","",E89/1000000*'1 Setup'!$B$7)</f>
        <v/>
      </c>
      <c r="W89" s="18" t="str">
        <f aca="false">IF($B89="","",V89*G89)</f>
        <v/>
      </c>
      <c r="X89" s="18" t="str">
        <f aca="false">IF($B89="","",P89*'1 Setup'!$B$7/1000000000)</f>
        <v/>
      </c>
      <c r="Y89" s="18" t="str">
        <f aca="false">IF($B89="","",L89*'1 Setup'!$B$7/1000000000)</f>
        <v/>
      </c>
    </row>
    <row r="90" customFormat="false" ht="15" hidden="false" customHeight="false" outlineLevel="0" collapsed="false">
      <c r="A90" s="7" t="n">
        <v>84</v>
      </c>
      <c r="B90" s="7" t="str">
        <f aca="false">IF(A90&gt;'2 Phases'!$D$4,"",IF(A90=0,1,COUNTIF('2 Phases'!$M$7:$M$12,"&lt;"&amp;A90)+1))</f>
        <v/>
      </c>
      <c r="C90" s="7" t="str">
        <f aca="false">IF($B90="","",INDEX('2 Phases'!$C$7:$C$12,B90))</f>
        <v/>
      </c>
      <c r="D90" s="7" t="str">
        <f aca="false">IF($B90="","",A90-INDEX('2 Phases'!$L$7:$L$12,B90))</f>
        <v/>
      </c>
      <c r="E90" s="14" t="str">
        <f aca="false">IF($B90="","",IFERROR(IF(C90="Continuous",INDEX('2 Phases'!$N$7:$N$12,B90)*EXP((INDEX('2 Phases'!$P$7:$P$12,B90)-N(INDEX('2 Phases'!$H$7:$H$12,B90)))*D90),INDEX('2 Phases'!$N$7:$N$12,B90)*(IF(INDEX('2 Phases'!$E$7:$E$12,B90)="",INDEX('2 Phases'!$N$7:$N$12,B90),INDEX('2 Phases'!$E$7:$E$12,B90))/INDEX('2 Phases'!$N$7:$N$12,B90))^(D90/INDEX('2 Phases'!$D$7:$D$12,B90))),""))</f>
        <v/>
      </c>
      <c r="F90" s="15" t="n">
        <f aca="false">IF(OR($B90="",C90&lt;&gt;"Fed-batch",D90=0),0,IFERROR(N(INDEX('3 Feed regimes'!$B$6:$E$35,D90,MATCH(INDEX('2 Phases'!$F$7:$F$12,B90),'3 Feed regimes'!$B$4:$E$4,0)))*'1 Setup'!$B$5/100,0))</f>
        <v>0</v>
      </c>
      <c r="G90" s="15" t="str">
        <f aca="false">IF($B90="","",G89+F90)</f>
        <v/>
      </c>
      <c r="H90" s="14" t="str">
        <f aca="false">IF($B90="","",(E89+E90)/2)</f>
        <v/>
      </c>
      <c r="I90" s="15" t="str">
        <f aca="false">IF($B90="","",IF(C90="Continuous",N(INDEX('2 Phases'!$G$7:$G$12,B90))*G89,0))</f>
        <v/>
      </c>
      <c r="J90" s="15" t="str">
        <f aca="false">IF($B90="","",IF(C90="Continuous",N(INDEX('2 Phases'!$H$7:$H$12,B90))*G89,0))</f>
        <v/>
      </c>
      <c r="K90" s="15" t="str">
        <f aca="false">IF($B90="","",I90-J90)</f>
        <v/>
      </c>
      <c r="L90" s="14" t="str">
        <f aca="false">IF($B90="","",J90*1000*H90)</f>
        <v/>
      </c>
      <c r="M90" s="15" t="str">
        <f aca="false">IF($B90="","",M89+F90+I90)</f>
        <v/>
      </c>
      <c r="N90" s="15" t="str">
        <f aca="false">IF($B90="","",N89+K90)</f>
        <v/>
      </c>
      <c r="O90" s="15" t="str">
        <f aca="false">IF($B90="","",O89+J90)</f>
        <v/>
      </c>
      <c r="P90" s="14" t="str">
        <f aca="false">IF($B90="","",P89+L90)</f>
        <v/>
      </c>
      <c r="Q90" s="18" t="str">
        <f aca="false">IF(OR($B90="",Q89="",'1 Setup'!$C$10=""),"",IF(AND($C90="Continuous",N(INDEX('2 Phases'!$G$7:$G$12,B90))&gt;0),IF('1 Setup'!$G$10="","",MAX(0,('1 Setup'!$G$10+('1 Setup'!$H$10*'1 Setup'!$C$10*0.00000024*$H90)/N(INDEX('2 Phases'!$G$7:$G$12,B90)))+(((Q89*($G89-$F89)+N('1 Setup'!$F$10)*$F89)/$G89)-('1 Setup'!$G$10+('1 Setup'!$H$10*'1 Setup'!$C$10*0.00000024*$H90)/N(INDEX('2 Phases'!$G$7:$G$12,B90))))*EXP(-N(INDEX('2 Phases'!$G$7:$G$12,B90))))),MAX(0,((Q89*($G89-$F89)+N('1 Setup'!$F$10)*$F89)/$G89)+('1 Setup'!$H$10*'1 Setup'!$C$10*0.00000024*$H90))))</f>
        <v/>
      </c>
      <c r="R90" s="18" t="str">
        <f aca="false">IF(OR($B90="",R89="",'1 Setup'!$C$11=""),"",IF(AND($C90="Continuous",N(INDEX('2 Phases'!$G$7:$G$12,B90))&gt;0),IF('1 Setup'!$G$11="","",MAX(0,('1 Setup'!$G$11+('1 Setup'!$H$11*'1 Setup'!$C$11*0.00000024*$H90)/N(INDEX('2 Phases'!$G$7:$G$12,B90)))+(((R89*($G89-$F89)+N('1 Setup'!$F$11)*$F89)/$G89)-('1 Setup'!$G$11+('1 Setup'!$H$11*'1 Setup'!$C$11*0.00000024*$H90)/N(INDEX('2 Phases'!$G$7:$G$12,B90))))*EXP(-N(INDEX('2 Phases'!$G$7:$G$12,B90))))),MAX(0,((R89*($G89-$F89)+N('1 Setup'!$F$11)*$F89)/$G89)+('1 Setup'!$H$11*'1 Setup'!$C$11*0.00000024*$H90))))</f>
        <v/>
      </c>
      <c r="S90" s="18" t="str">
        <f aca="false">IF(OR($B90="",S89="",'1 Setup'!$C$12=""),"",IF(AND($C90="Continuous",N(INDEX('2 Phases'!$G$7:$G$12,B90))&gt;0),IF('1 Setup'!$G$12="","",MAX(0,('1 Setup'!$G$12+('1 Setup'!$H$12*'1 Setup'!$C$12*0.00000024*$H90)/N(INDEX('2 Phases'!$G$7:$G$12,B90)))+(((S89*($G89-$F89)+N('1 Setup'!$F$12)*$F89)/$G89)-('1 Setup'!$G$12+('1 Setup'!$H$12*'1 Setup'!$C$12*0.00000024*$H90)/N(INDEX('2 Phases'!$G$7:$G$12,B90))))*EXP(-N(INDEX('2 Phases'!$G$7:$G$12,B90))))),MAX(0,((S89*($G89-$F89)+N('1 Setup'!$F$12)*$F89)/$G89)+('1 Setup'!$H$12*'1 Setup'!$C$12*0.00000024*$H90))))</f>
        <v/>
      </c>
      <c r="T90" s="18" t="str">
        <f aca="false">IF(OR($B90="",T89="",'1 Setup'!$C$13=""),"",IF(AND($C90="Continuous",N(INDEX('2 Phases'!$G$7:$G$12,B90))&gt;0),IF('1 Setup'!$G$13="","",MAX(0,('1 Setup'!$G$13+('1 Setup'!$H$13*'1 Setup'!$C$13*0.00000024*$H90)/N(INDEX('2 Phases'!$G$7:$G$12,B90)))+(((T89*($G89-$F89)+N('1 Setup'!$F$13)*$F89)/$G89)-('1 Setup'!$G$13+('1 Setup'!$H$13*'1 Setup'!$C$13*0.00000024*$H90)/N(INDEX('2 Phases'!$G$7:$G$12,B90))))*EXP(-N(INDEX('2 Phases'!$G$7:$G$12,B90))))),MAX(0,((T89*($G89-$F89)+N('1 Setup'!$F$13)*$F89)/$G89)+('1 Setup'!$H$13*'1 Setup'!$C$13*0.00000024*$H90))))</f>
        <v/>
      </c>
      <c r="U90" s="18" t="str">
        <f aca="false">IF(OR($B90="",U89="",'1 Setup'!$C$14=""),"",IF(AND($C90="Continuous",N(INDEX('2 Phases'!$G$7:$G$12,B90))&gt;0),IF('1 Setup'!$G$14="","",MAX(0,('1 Setup'!$G$14+('1 Setup'!$H$14*'1 Setup'!$C$14*0.00000024*$H90)/N(INDEX('2 Phases'!$G$7:$G$12,B90)))+(((U89*($G89-$F89)+N('1 Setup'!$F$14)*$F89)/$G89)-('1 Setup'!$G$14+('1 Setup'!$H$14*'1 Setup'!$C$14*0.00000024*$H90)/N(INDEX('2 Phases'!$G$7:$G$12,B90))))*EXP(-N(INDEX('2 Phases'!$G$7:$G$12,B90))))),MAX(0,((U89*($G89-$F89)+N('1 Setup'!$F$14)*$F89)/$G89)+('1 Setup'!$H$14*'1 Setup'!$C$14*0.00000024*$H90))))</f>
        <v/>
      </c>
      <c r="V90" s="18" t="str">
        <f aca="false">IF($B90="","",E90/1000000*'1 Setup'!$B$7)</f>
        <v/>
      </c>
      <c r="W90" s="18" t="str">
        <f aca="false">IF($B90="","",V90*G90)</f>
        <v/>
      </c>
      <c r="X90" s="18" t="str">
        <f aca="false">IF($B90="","",P90*'1 Setup'!$B$7/1000000000)</f>
        <v/>
      </c>
      <c r="Y90" s="18" t="str">
        <f aca="false">IF($B90="","",L90*'1 Setup'!$B$7/1000000000)</f>
        <v/>
      </c>
    </row>
    <row r="91" customFormat="false" ht="15" hidden="false" customHeight="false" outlineLevel="0" collapsed="false">
      <c r="A91" s="7" t="n">
        <v>85</v>
      </c>
      <c r="B91" s="7" t="str">
        <f aca="false">IF(A91&gt;'2 Phases'!$D$4,"",IF(A91=0,1,COUNTIF('2 Phases'!$M$7:$M$12,"&lt;"&amp;A91)+1))</f>
        <v/>
      </c>
      <c r="C91" s="7" t="str">
        <f aca="false">IF($B91="","",INDEX('2 Phases'!$C$7:$C$12,B91))</f>
        <v/>
      </c>
      <c r="D91" s="7" t="str">
        <f aca="false">IF($B91="","",A91-INDEX('2 Phases'!$L$7:$L$12,B91))</f>
        <v/>
      </c>
      <c r="E91" s="14" t="str">
        <f aca="false">IF($B91="","",IFERROR(IF(C91="Continuous",INDEX('2 Phases'!$N$7:$N$12,B91)*EXP((INDEX('2 Phases'!$P$7:$P$12,B91)-N(INDEX('2 Phases'!$H$7:$H$12,B91)))*D91),INDEX('2 Phases'!$N$7:$N$12,B91)*(IF(INDEX('2 Phases'!$E$7:$E$12,B91)="",INDEX('2 Phases'!$N$7:$N$12,B91),INDEX('2 Phases'!$E$7:$E$12,B91))/INDEX('2 Phases'!$N$7:$N$12,B91))^(D91/INDEX('2 Phases'!$D$7:$D$12,B91))),""))</f>
        <v/>
      </c>
      <c r="F91" s="15" t="n">
        <f aca="false">IF(OR($B91="",C91&lt;&gt;"Fed-batch",D91=0),0,IFERROR(N(INDEX('3 Feed regimes'!$B$6:$E$35,D91,MATCH(INDEX('2 Phases'!$F$7:$F$12,B91),'3 Feed regimes'!$B$4:$E$4,0)))*'1 Setup'!$B$5/100,0))</f>
        <v>0</v>
      </c>
      <c r="G91" s="15" t="str">
        <f aca="false">IF($B91="","",G90+F91)</f>
        <v/>
      </c>
      <c r="H91" s="14" t="str">
        <f aca="false">IF($B91="","",(E90+E91)/2)</f>
        <v/>
      </c>
      <c r="I91" s="15" t="str">
        <f aca="false">IF($B91="","",IF(C91="Continuous",N(INDEX('2 Phases'!$G$7:$G$12,B91))*G90,0))</f>
        <v/>
      </c>
      <c r="J91" s="15" t="str">
        <f aca="false">IF($B91="","",IF(C91="Continuous",N(INDEX('2 Phases'!$H$7:$H$12,B91))*G90,0))</f>
        <v/>
      </c>
      <c r="K91" s="15" t="str">
        <f aca="false">IF($B91="","",I91-J91)</f>
        <v/>
      </c>
      <c r="L91" s="14" t="str">
        <f aca="false">IF($B91="","",J91*1000*H91)</f>
        <v/>
      </c>
      <c r="M91" s="15" t="str">
        <f aca="false">IF($B91="","",M90+F91+I91)</f>
        <v/>
      </c>
      <c r="N91" s="15" t="str">
        <f aca="false">IF($B91="","",N90+K91)</f>
        <v/>
      </c>
      <c r="O91" s="15" t="str">
        <f aca="false">IF($B91="","",O90+J91)</f>
        <v/>
      </c>
      <c r="P91" s="14" t="str">
        <f aca="false">IF($B91="","",P90+L91)</f>
        <v/>
      </c>
      <c r="Q91" s="18" t="str">
        <f aca="false">IF(OR($B91="",Q90="",'1 Setup'!$C$10=""),"",IF(AND($C91="Continuous",N(INDEX('2 Phases'!$G$7:$G$12,B91))&gt;0),IF('1 Setup'!$G$10="","",MAX(0,('1 Setup'!$G$10+('1 Setup'!$H$10*'1 Setup'!$C$10*0.00000024*$H91)/N(INDEX('2 Phases'!$G$7:$G$12,B91)))+(((Q90*($G90-$F90)+N('1 Setup'!$F$10)*$F90)/$G90)-('1 Setup'!$G$10+('1 Setup'!$H$10*'1 Setup'!$C$10*0.00000024*$H91)/N(INDEX('2 Phases'!$G$7:$G$12,B91))))*EXP(-N(INDEX('2 Phases'!$G$7:$G$12,B91))))),MAX(0,((Q90*($G90-$F90)+N('1 Setup'!$F$10)*$F90)/$G90)+('1 Setup'!$H$10*'1 Setup'!$C$10*0.00000024*$H91))))</f>
        <v/>
      </c>
      <c r="R91" s="18" t="str">
        <f aca="false">IF(OR($B91="",R90="",'1 Setup'!$C$11=""),"",IF(AND($C91="Continuous",N(INDEX('2 Phases'!$G$7:$G$12,B91))&gt;0),IF('1 Setup'!$G$11="","",MAX(0,('1 Setup'!$G$11+('1 Setup'!$H$11*'1 Setup'!$C$11*0.00000024*$H91)/N(INDEX('2 Phases'!$G$7:$G$12,B91)))+(((R90*($G90-$F90)+N('1 Setup'!$F$11)*$F90)/$G90)-('1 Setup'!$G$11+('1 Setup'!$H$11*'1 Setup'!$C$11*0.00000024*$H91)/N(INDEX('2 Phases'!$G$7:$G$12,B91))))*EXP(-N(INDEX('2 Phases'!$G$7:$G$12,B91))))),MAX(0,((R90*($G90-$F90)+N('1 Setup'!$F$11)*$F90)/$G90)+('1 Setup'!$H$11*'1 Setup'!$C$11*0.00000024*$H91))))</f>
        <v/>
      </c>
      <c r="S91" s="18" t="str">
        <f aca="false">IF(OR($B91="",S90="",'1 Setup'!$C$12=""),"",IF(AND($C91="Continuous",N(INDEX('2 Phases'!$G$7:$G$12,B91))&gt;0),IF('1 Setup'!$G$12="","",MAX(0,('1 Setup'!$G$12+('1 Setup'!$H$12*'1 Setup'!$C$12*0.00000024*$H91)/N(INDEX('2 Phases'!$G$7:$G$12,B91)))+(((S90*($G90-$F90)+N('1 Setup'!$F$12)*$F90)/$G90)-('1 Setup'!$G$12+('1 Setup'!$H$12*'1 Setup'!$C$12*0.00000024*$H91)/N(INDEX('2 Phases'!$G$7:$G$12,B91))))*EXP(-N(INDEX('2 Phases'!$G$7:$G$12,B91))))),MAX(0,((S90*($G90-$F90)+N('1 Setup'!$F$12)*$F90)/$G90)+('1 Setup'!$H$12*'1 Setup'!$C$12*0.00000024*$H91))))</f>
        <v/>
      </c>
      <c r="T91" s="18" t="str">
        <f aca="false">IF(OR($B91="",T90="",'1 Setup'!$C$13=""),"",IF(AND($C91="Continuous",N(INDEX('2 Phases'!$G$7:$G$12,B91))&gt;0),IF('1 Setup'!$G$13="","",MAX(0,('1 Setup'!$G$13+('1 Setup'!$H$13*'1 Setup'!$C$13*0.00000024*$H91)/N(INDEX('2 Phases'!$G$7:$G$12,B91)))+(((T90*($G90-$F90)+N('1 Setup'!$F$13)*$F90)/$G90)-('1 Setup'!$G$13+('1 Setup'!$H$13*'1 Setup'!$C$13*0.00000024*$H91)/N(INDEX('2 Phases'!$G$7:$G$12,B91))))*EXP(-N(INDEX('2 Phases'!$G$7:$G$12,B91))))),MAX(0,((T90*($G90-$F90)+N('1 Setup'!$F$13)*$F90)/$G90)+('1 Setup'!$H$13*'1 Setup'!$C$13*0.00000024*$H91))))</f>
        <v/>
      </c>
      <c r="U91" s="18" t="str">
        <f aca="false">IF(OR($B91="",U90="",'1 Setup'!$C$14=""),"",IF(AND($C91="Continuous",N(INDEX('2 Phases'!$G$7:$G$12,B91))&gt;0),IF('1 Setup'!$G$14="","",MAX(0,('1 Setup'!$G$14+('1 Setup'!$H$14*'1 Setup'!$C$14*0.00000024*$H91)/N(INDEX('2 Phases'!$G$7:$G$12,B91)))+(((U90*($G90-$F90)+N('1 Setup'!$F$14)*$F90)/$G90)-('1 Setup'!$G$14+('1 Setup'!$H$14*'1 Setup'!$C$14*0.00000024*$H91)/N(INDEX('2 Phases'!$G$7:$G$12,B91))))*EXP(-N(INDEX('2 Phases'!$G$7:$G$12,B91))))),MAX(0,((U90*($G90-$F90)+N('1 Setup'!$F$14)*$F90)/$G90)+('1 Setup'!$H$14*'1 Setup'!$C$14*0.00000024*$H91))))</f>
        <v/>
      </c>
      <c r="V91" s="18" t="str">
        <f aca="false">IF($B91="","",E91/1000000*'1 Setup'!$B$7)</f>
        <v/>
      </c>
      <c r="W91" s="18" t="str">
        <f aca="false">IF($B91="","",V91*G91)</f>
        <v/>
      </c>
      <c r="X91" s="18" t="str">
        <f aca="false">IF($B91="","",P91*'1 Setup'!$B$7/1000000000)</f>
        <v/>
      </c>
      <c r="Y91" s="18" t="str">
        <f aca="false">IF($B91="","",L91*'1 Setup'!$B$7/1000000000)</f>
        <v/>
      </c>
    </row>
    <row r="92" customFormat="false" ht="15" hidden="false" customHeight="false" outlineLevel="0" collapsed="false">
      <c r="A92" s="7" t="n">
        <v>86</v>
      </c>
      <c r="B92" s="7" t="str">
        <f aca="false">IF(A92&gt;'2 Phases'!$D$4,"",IF(A92=0,1,COUNTIF('2 Phases'!$M$7:$M$12,"&lt;"&amp;A92)+1))</f>
        <v/>
      </c>
      <c r="C92" s="7" t="str">
        <f aca="false">IF($B92="","",INDEX('2 Phases'!$C$7:$C$12,B92))</f>
        <v/>
      </c>
      <c r="D92" s="7" t="str">
        <f aca="false">IF($B92="","",A92-INDEX('2 Phases'!$L$7:$L$12,B92))</f>
        <v/>
      </c>
      <c r="E92" s="14" t="str">
        <f aca="false">IF($B92="","",IFERROR(IF(C92="Continuous",INDEX('2 Phases'!$N$7:$N$12,B92)*EXP((INDEX('2 Phases'!$P$7:$P$12,B92)-N(INDEX('2 Phases'!$H$7:$H$12,B92)))*D92),INDEX('2 Phases'!$N$7:$N$12,B92)*(IF(INDEX('2 Phases'!$E$7:$E$12,B92)="",INDEX('2 Phases'!$N$7:$N$12,B92),INDEX('2 Phases'!$E$7:$E$12,B92))/INDEX('2 Phases'!$N$7:$N$12,B92))^(D92/INDEX('2 Phases'!$D$7:$D$12,B92))),""))</f>
        <v/>
      </c>
      <c r="F92" s="15" t="n">
        <f aca="false">IF(OR($B92="",C92&lt;&gt;"Fed-batch",D92=0),0,IFERROR(N(INDEX('3 Feed regimes'!$B$6:$E$35,D92,MATCH(INDEX('2 Phases'!$F$7:$F$12,B92),'3 Feed regimes'!$B$4:$E$4,0)))*'1 Setup'!$B$5/100,0))</f>
        <v>0</v>
      </c>
      <c r="G92" s="15" t="str">
        <f aca="false">IF($B92="","",G91+F92)</f>
        <v/>
      </c>
      <c r="H92" s="14" t="str">
        <f aca="false">IF($B92="","",(E91+E92)/2)</f>
        <v/>
      </c>
      <c r="I92" s="15" t="str">
        <f aca="false">IF($B92="","",IF(C92="Continuous",N(INDEX('2 Phases'!$G$7:$G$12,B92))*G91,0))</f>
        <v/>
      </c>
      <c r="J92" s="15" t="str">
        <f aca="false">IF($B92="","",IF(C92="Continuous",N(INDEX('2 Phases'!$H$7:$H$12,B92))*G91,0))</f>
        <v/>
      </c>
      <c r="K92" s="15" t="str">
        <f aca="false">IF($B92="","",I92-J92)</f>
        <v/>
      </c>
      <c r="L92" s="14" t="str">
        <f aca="false">IF($B92="","",J92*1000*H92)</f>
        <v/>
      </c>
      <c r="M92" s="15" t="str">
        <f aca="false">IF($B92="","",M91+F92+I92)</f>
        <v/>
      </c>
      <c r="N92" s="15" t="str">
        <f aca="false">IF($B92="","",N91+K92)</f>
        <v/>
      </c>
      <c r="O92" s="15" t="str">
        <f aca="false">IF($B92="","",O91+J92)</f>
        <v/>
      </c>
      <c r="P92" s="14" t="str">
        <f aca="false">IF($B92="","",P91+L92)</f>
        <v/>
      </c>
      <c r="Q92" s="18" t="str">
        <f aca="false">IF(OR($B92="",Q91="",'1 Setup'!$C$10=""),"",IF(AND($C92="Continuous",N(INDEX('2 Phases'!$G$7:$G$12,B92))&gt;0),IF('1 Setup'!$G$10="","",MAX(0,('1 Setup'!$G$10+('1 Setup'!$H$10*'1 Setup'!$C$10*0.00000024*$H92)/N(INDEX('2 Phases'!$G$7:$G$12,B92)))+(((Q91*($G91-$F91)+N('1 Setup'!$F$10)*$F91)/$G91)-('1 Setup'!$G$10+('1 Setup'!$H$10*'1 Setup'!$C$10*0.00000024*$H92)/N(INDEX('2 Phases'!$G$7:$G$12,B92))))*EXP(-N(INDEX('2 Phases'!$G$7:$G$12,B92))))),MAX(0,((Q91*($G91-$F91)+N('1 Setup'!$F$10)*$F91)/$G91)+('1 Setup'!$H$10*'1 Setup'!$C$10*0.00000024*$H92))))</f>
        <v/>
      </c>
      <c r="R92" s="18" t="str">
        <f aca="false">IF(OR($B92="",R91="",'1 Setup'!$C$11=""),"",IF(AND($C92="Continuous",N(INDEX('2 Phases'!$G$7:$G$12,B92))&gt;0),IF('1 Setup'!$G$11="","",MAX(0,('1 Setup'!$G$11+('1 Setup'!$H$11*'1 Setup'!$C$11*0.00000024*$H92)/N(INDEX('2 Phases'!$G$7:$G$12,B92)))+(((R91*($G91-$F91)+N('1 Setup'!$F$11)*$F91)/$G91)-('1 Setup'!$G$11+('1 Setup'!$H$11*'1 Setup'!$C$11*0.00000024*$H92)/N(INDEX('2 Phases'!$G$7:$G$12,B92))))*EXP(-N(INDEX('2 Phases'!$G$7:$G$12,B92))))),MAX(0,((R91*($G91-$F91)+N('1 Setup'!$F$11)*$F91)/$G91)+('1 Setup'!$H$11*'1 Setup'!$C$11*0.00000024*$H92))))</f>
        <v/>
      </c>
      <c r="S92" s="18" t="str">
        <f aca="false">IF(OR($B92="",S91="",'1 Setup'!$C$12=""),"",IF(AND($C92="Continuous",N(INDEX('2 Phases'!$G$7:$G$12,B92))&gt;0),IF('1 Setup'!$G$12="","",MAX(0,('1 Setup'!$G$12+('1 Setup'!$H$12*'1 Setup'!$C$12*0.00000024*$H92)/N(INDEX('2 Phases'!$G$7:$G$12,B92)))+(((S91*($G91-$F91)+N('1 Setup'!$F$12)*$F91)/$G91)-('1 Setup'!$G$12+('1 Setup'!$H$12*'1 Setup'!$C$12*0.00000024*$H92)/N(INDEX('2 Phases'!$G$7:$G$12,B92))))*EXP(-N(INDEX('2 Phases'!$G$7:$G$12,B92))))),MAX(0,((S91*($G91-$F91)+N('1 Setup'!$F$12)*$F91)/$G91)+('1 Setup'!$H$12*'1 Setup'!$C$12*0.00000024*$H92))))</f>
        <v/>
      </c>
      <c r="T92" s="18" t="str">
        <f aca="false">IF(OR($B92="",T91="",'1 Setup'!$C$13=""),"",IF(AND($C92="Continuous",N(INDEX('2 Phases'!$G$7:$G$12,B92))&gt;0),IF('1 Setup'!$G$13="","",MAX(0,('1 Setup'!$G$13+('1 Setup'!$H$13*'1 Setup'!$C$13*0.00000024*$H92)/N(INDEX('2 Phases'!$G$7:$G$12,B92)))+(((T91*($G91-$F91)+N('1 Setup'!$F$13)*$F91)/$G91)-('1 Setup'!$G$13+('1 Setup'!$H$13*'1 Setup'!$C$13*0.00000024*$H92)/N(INDEX('2 Phases'!$G$7:$G$12,B92))))*EXP(-N(INDEX('2 Phases'!$G$7:$G$12,B92))))),MAX(0,((T91*($G91-$F91)+N('1 Setup'!$F$13)*$F91)/$G91)+('1 Setup'!$H$13*'1 Setup'!$C$13*0.00000024*$H92))))</f>
        <v/>
      </c>
      <c r="U92" s="18" t="str">
        <f aca="false">IF(OR($B92="",U91="",'1 Setup'!$C$14=""),"",IF(AND($C92="Continuous",N(INDEX('2 Phases'!$G$7:$G$12,B92))&gt;0),IF('1 Setup'!$G$14="","",MAX(0,('1 Setup'!$G$14+('1 Setup'!$H$14*'1 Setup'!$C$14*0.00000024*$H92)/N(INDEX('2 Phases'!$G$7:$G$12,B92)))+(((U91*($G91-$F91)+N('1 Setup'!$F$14)*$F91)/$G91)-('1 Setup'!$G$14+('1 Setup'!$H$14*'1 Setup'!$C$14*0.00000024*$H92)/N(INDEX('2 Phases'!$G$7:$G$12,B92))))*EXP(-N(INDEX('2 Phases'!$G$7:$G$12,B92))))),MAX(0,((U91*($G91-$F91)+N('1 Setup'!$F$14)*$F91)/$G91)+('1 Setup'!$H$14*'1 Setup'!$C$14*0.00000024*$H92))))</f>
        <v/>
      </c>
      <c r="V92" s="18" t="str">
        <f aca="false">IF($B92="","",E92/1000000*'1 Setup'!$B$7)</f>
        <v/>
      </c>
      <c r="W92" s="18" t="str">
        <f aca="false">IF($B92="","",V92*G92)</f>
        <v/>
      </c>
      <c r="X92" s="18" t="str">
        <f aca="false">IF($B92="","",P92*'1 Setup'!$B$7/1000000000)</f>
        <v/>
      </c>
      <c r="Y92" s="18" t="str">
        <f aca="false">IF($B92="","",L92*'1 Setup'!$B$7/1000000000)</f>
        <v/>
      </c>
    </row>
    <row r="93" customFormat="false" ht="15" hidden="false" customHeight="false" outlineLevel="0" collapsed="false">
      <c r="A93" s="7" t="n">
        <v>87</v>
      </c>
      <c r="B93" s="7" t="str">
        <f aca="false">IF(A93&gt;'2 Phases'!$D$4,"",IF(A93=0,1,COUNTIF('2 Phases'!$M$7:$M$12,"&lt;"&amp;A93)+1))</f>
        <v/>
      </c>
      <c r="C93" s="7" t="str">
        <f aca="false">IF($B93="","",INDEX('2 Phases'!$C$7:$C$12,B93))</f>
        <v/>
      </c>
      <c r="D93" s="7" t="str">
        <f aca="false">IF($B93="","",A93-INDEX('2 Phases'!$L$7:$L$12,B93))</f>
        <v/>
      </c>
      <c r="E93" s="14" t="str">
        <f aca="false">IF($B93="","",IFERROR(IF(C93="Continuous",INDEX('2 Phases'!$N$7:$N$12,B93)*EXP((INDEX('2 Phases'!$P$7:$P$12,B93)-N(INDEX('2 Phases'!$H$7:$H$12,B93)))*D93),INDEX('2 Phases'!$N$7:$N$12,B93)*(IF(INDEX('2 Phases'!$E$7:$E$12,B93)="",INDEX('2 Phases'!$N$7:$N$12,B93),INDEX('2 Phases'!$E$7:$E$12,B93))/INDEX('2 Phases'!$N$7:$N$12,B93))^(D93/INDEX('2 Phases'!$D$7:$D$12,B93))),""))</f>
        <v/>
      </c>
      <c r="F93" s="15" t="n">
        <f aca="false">IF(OR($B93="",C93&lt;&gt;"Fed-batch",D93=0),0,IFERROR(N(INDEX('3 Feed regimes'!$B$6:$E$35,D93,MATCH(INDEX('2 Phases'!$F$7:$F$12,B93),'3 Feed regimes'!$B$4:$E$4,0)))*'1 Setup'!$B$5/100,0))</f>
        <v>0</v>
      </c>
      <c r="G93" s="15" t="str">
        <f aca="false">IF($B93="","",G92+F93)</f>
        <v/>
      </c>
      <c r="H93" s="14" t="str">
        <f aca="false">IF($B93="","",(E92+E93)/2)</f>
        <v/>
      </c>
      <c r="I93" s="15" t="str">
        <f aca="false">IF($B93="","",IF(C93="Continuous",N(INDEX('2 Phases'!$G$7:$G$12,B93))*G92,0))</f>
        <v/>
      </c>
      <c r="J93" s="15" t="str">
        <f aca="false">IF($B93="","",IF(C93="Continuous",N(INDEX('2 Phases'!$H$7:$H$12,B93))*G92,0))</f>
        <v/>
      </c>
      <c r="K93" s="15" t="str">
        <f aca="false">IF($B93="","",I93-J93)</f>
        <v/>
      </c>
      <c r="L93" s="14" t="str">
        <f aca="false">IF($B93="","",J93*1000*H93)</f>
        <v/>
      </c>
      <c r="M93" s="15" t="str">
        <f aca="false">IF($B93="","",M92+F93+I93)</f>
        <v/>
      </c>
      <c r="N93" s="15" t="str">
        <f aca="false">IF($B93="","",N92+K93)</f>
        <v/>
      </c>
      <c r="O93" s="15" t="str">
        <f aca="false">IF($B93="","",O92+J93)</f>
        <v/>
      </c>
      <c r="P93" s="14" t="str">
        <f aca="false">IF($B93="","",P92+L93)</f>
        <v/>
      </c>
      <c r="Q93" s="18" t="str">
        <f aca="false">IF(OR($B93="",Q92="",'1 Setup'!$C$10=""),"",IF(AND($C93="Continuous",N(INDEX('2 Phases'!$G$7:$G$12,B93))&gt;0),IF('1 Setup'!$G$10="","",MAX(0,('1 Setup'!$G$10+('1 Setup'!$H$10*'1 Setup'!$C$10*0.00000024*$H93)/N(INDEX('2 Phases'!$G$7:$G$12,B93)))+(((Q92*($G92-$F92)+N('1 Setup'!$F$10)*$F92)/$G92)-('1 Setup'!$G$10+('1 Setup'!$H$10*'1 Setup'!$C$10*0.00000024*$H93)/N(INDEX('2 Phases'!$G$7:$G$12,B93))))*EXP(-N(INDEX('2 Phases'!$G$7:$G$12,B93))))),MAX(0,((Q92*($G92-$F92)+N('1 Setup'!$F$10)*$F92)/$G92)+('1 Setup'!$H$10*'1 Setup'!$C$10*0.00000024*$H93))))</f>
        <v/>
      </c>
      <c r="R93" s="18" t="str">
        <f aca="false">IF(OR($B93="",R92="",'1 Setup'!$C$11=""),"",IF(AND($C93="Continuous",N(INDEX('2 Phases'!$G$7:$G$12,B93))&gt;0),IF('1 Setup'!$G$11="","",MAX(0,('1 Setup'!$G$11+('1 Setup'!$H$11*'1 Setup'!$C$11*0.00000024*$H93)/N(INDEX('2 Phases'!$G$7:$G$12,B93)))+(((R92*($G92-$F92)+N('1 Setup'!$F$11)*$F92)/$G92)-('1 Setup'!$G$11+('1 Setup'!$H$11*'1 Setup'!$C$11*0.00000024*$H93)/N(INDEX('2 Phases'!$G$7:$G$12,B93))))*EXP(-N(INDEX('2 Phases'!$G$7:$G$12,B93))))),MAX(0,((R92*($G92-$F92)+N('1 Setup'!$F$11)*$F92)/$G92)+('1 Setup'!$H$11*'1 Setup'!$C$11*0.00000024*$H93))))</f>
        <v/>
      </c>
      <c r="S93" s="18" t="str">
        <f aca="false">IF(OR($B93="",S92="",'1 Setup'!$C$12=""),"",IF(AND($C93="Continuous",N(INDEX('2 Phases'!$G$7:$G$12,B93))&gt;0),IF('1 Setup'!$G$12="","",MAX(0,('1 Setup'!$G$12+('1 Setup'!$H$12*'1 Setup'!$C$12*0.00000024*$H93)/N(INDEX('2 Phases'!$G$7:$G$12,B93)))+(((S92*($G92-$F92)+N('1 Setup'!$F$12)*$F92)/$G92)-('1 Setup'!$G$12+('1 Setup'!$H$12*'1 Setup'!$C$12*0.00000024*$H93)/N(INDEX('2 Phases'!$G$7:$G$12,B93))))*EXP(-N(INDEX('2 Phases'!$G$7:$G$12,B93))))),MAX(0,((S92*($G92-$F92)+N('1 Setup'!$F$12)*$F92)/$G92)+('1 Setup'!$H$12*'1 Setup'!$C$12*0.00000024*$H93))))</f>
        <v/>
      </c>
      <c r="T93" s="18" t="str">
        <f aca="false">IF(OR($B93="",T92="",'1 Setup'!$C$13=""),"",IF(AND($C93="Continuous",N(INDEX('2 Phases'!$G$7:$G$12,B93))&gt;0),IF('1 Setup'!$G$13="","",MAX(0,('1 Setup'!$G$13+('1 Setup'!$H$13*'1 Setup'!$C$13*0.00000024*$H93)/N(INDEX('2 Phases'!$G$7:$G$12,B93)))+(((T92*($G92-$F92)+N('1 Setup'!$F$13)*$F92)/$G92)-('1 Setup'!$G$13+('1 Setup'!$H$13*'1 Setup'!$C$13*0.00000024*$H93)/N(INDEX('2 Phases'!$G$7:$G$12,B93))))*EXP(-N(INDEX('2 Phases'!$G$7:$G$12,B93))))),MAX(0,((T92*($G92-$F92)+N('1 Setup'!$F$13)*$F92)/$G92)+('1 Setup'!$H$13*'1 Setup'!$C$13*0.00000024*$H93))))</f>
        <v/>
      </c>
      <c r="U93" s="18" t="str">
        <f aca="false">IF(OR($B93="",U92="",'1 Setup'!$C$14=""),"",IF(AND($C93="Continuous",N(INDEX('2 Phases'!$G$7:$G$12,B93))&gt;0),IF('1 Setup'!$G$14="","",MAX(0,('1 Setup'!$G$14+('1 Setup'!$H$14*'1 Setup'!$C$14*0.00000024*$H93)/N(INDEX('2 Phases'!$G$7:$G$12,B93)))+(((U92*($G92-$F92)+N('1 Setup'!$F$14)*$F92)/$G92)-('1 Setup'!$G$14+('1 Setup'!$H$14*'1 Setup'!$C$14*0.00000024*$H93)/N(INDEX('2 Phases'!$G$7:$G$12,B93))))*EXP(-N(INDEX('2 Phases'!$G$7:$G$12,B93))))),MAX(0,((U92*($G92-$F92)+N('1 Setup'!$F$14)*$F92)/$G92)+('1 Setup'!$H$14*'1 Setup'!$C$14*0.00000024*$H93))))</f>
        <v/>
      </c>
      <c r="V93" s="18" t="str">
        <f aca="false">IF($B93="","",E93/1000000*'1 Setup'!$B$7)</f>
        <v/>
      </c>
      <c r="W93" s="18" t="str">
        <f aca="false">IF($B93="","",V93*G93)</f>
        <v/>
      </c>
      <c r="X93" s="18" t="str">
        <f aca="false">IF($B93="","",P93*'1 Setup'!$B$7/1000000000)</f>
        <v/>
      </c>
      <c r="Y93" s="18" t="str">
        <f aca="false">IF($B93="","",L93*'1 Setup'!$B$7/1000000000)</f>
        <v/>
      </c>
    </row>
    <row r="94" customFormat="false" ht="15" hidden="false" customHeight="false" outlineLevel="0" collapsed="false">
      <c r="A94" s="7" t="n">
        <v>88</v>
      </c>
      <c r="B94" s="7" t="str">
        <f aca="false">IF(A94&gt;'2 Phases'!$D$4,"",IF(A94=0,1,COUNTIF('2 Phases'!$M$7:$M$12,"&lt;"&amp;A94)+1))</f>
        <v/>
      </c>
      <c r="C94" s="7" t="str">
        <f aca="false">IF($B94="","",INDEX('2 Phases'!$C$7:$C$12,B94))</f>
        <v/>
      </c>
      <c r="D94" s="7" t="str">
        <f aca="false">IF($B94="","",A94-INDEX('2 Phases'!$L$7:$L$12,B94))</f>
        <v/>
      </c>
      <c r="E94" s="14" t="str">
        <f aca="false">IF($B94="","",IFERROR(IF(C94="Continuous",INDEX('2 Phases'!$N$7:$N$12,B94)*EXP((INDEX('2 Phases'!$P$7:$P$12,B94)-N(INDEX('2 Phases'!$H$7:$H$12,B94)))*D94),INDEX('2 Phases'!$N$7:$N$12,B94)*(IF(INDEX('2 Phases'!$E$7:$E$12,B94)="",INDEX('2 Phases'!$N$7:$N$12,B94),INDEX('2 Phases'!$E$7:$E$12,B94))/INDEX('2 Phases'!$N$7:$N$12,B94))^(D94/INDEX('2 Phases'!$D$7:$D$12,B94))),""))</f>
        <v/>
      </c>
      <c r="F94" s="15" t="n">
        <f aca="false">IF(OR($B94="",C94&lt;&gt;"Fed-batch",D94=0),0,IFERROR(N(INDEX('3 Feed regimes'!$B$6:$E$35,D94,MATCH(INDEX('2 Phases'!$F$7:$F$12,B94),'3 Feed regimes'!$B$4:$E$4,0)))*'1 Setup'!$B$5/100,0))</f>
        <v>0</v>
      </c>
      <c r="G94" s="15" t="str">
        <f aca="false">IF($B94="","",G93+F94)</f>
        <v/>
      </c>
      <c r="H94" s="14" t="str">
        <f aca="false">IF($B94="","",(E93+E94)/2)</f>
        <v/>
      </c>
      <c r="I94" s="15" t="str">
        <f aca="false">IF($B94="","",IF(C94="Continuous",N(INDEX('2 Phases'!$G$7:$G$12,B94))*G93,0))</f>
        <v/>
      </c>
      <c r="J94" s="15" t="str">
        <f aca="false">IF($B94="","",IF(C94="Continuous",N(INDEX('2 Phases'!$H$7:$H$12,B94))*G93,0))</f>
        <v/>
      </c>
      <c r="K94" s="15" t="str">
        <f aca="false">IF($B94="","",I94-J94)</f>
        <v/>
      </c>
      <c r="L94" s="14" t="str">
        <f aca="false">IF($B94="","",J94*1000*H94)</f>
        <v/>
      </c>
      <c r="M94" s="15" t="str">
        <f aca="false">IF($B94="","",M93+F94+I94)</f>
        <v/>
      </c>
      <c r="N94" s="15" t="str">
        <f aca="false">IF($B94="","",N93+K94)</f>
        <v/>
      </c>
      <c r="O94" s="15" t="str">
        <f aca="false">IF($B94="","",O93+J94)</f>
        <v/>
      </c>
      <c r="P94" s="14" t="str">
        <f aca="false">IF($B94="","",P93+L94)</f>
        <v/>
      </c>
      <c r="Q94" s="18" t="str">
        <f aca="false">IF(OR($B94="",Q93="",'1 Setup'!$C$10=""),"",IF(AND($C94="Continuous",N(INDEX('2 Phases'!$G$7:$G$12,B94))&gt;0),IF('1 Setup'!$G$10="","",MAX(0,('1 Setup'!$G$10+('1 Setup'!$H$10*'1 Setup'!$C$10*0.00000024*$H94)/N(INDEX('2 Phases'!$G$7:$G$12,B94)))+(((Q93*($G93-$F93)+N('1 Setup'!$F$10)*$F93)/$G93)-('1 Setup'!$G$10+('1 Setup'!$H$10*'1 Setup'!$C$10*0.00000024*$H94)/N(INDEX('2 Phases'!$G$7:$G$12,B94))))*EXP(-N(INDEX('2 Phases'!$G$7:$G$12,B94))))),MAX(0,((Q93*($G93-$F93)+N('1 Setup'!$F$10)*$F93)/$G93)+('1 Setup'!$H$10*'1 Setup'!$C$10*0.00000024*$H94))))</f>
        <v/>
      </c>
      <c r="R94" s="18" t="str">
        <f aca="false">IF(OR($B94="",R93="",'1 Setup'!$C$11=""),"",IF(AND($C94="Continuous",N(INDEX('2 Phases'!$G$7:$G$12,B94))&gt;0),IF('1 Setup'!$G$11="","",MAX(0,('1 Setup'!$G$11+('1 Setup'!$H$11*'1 Setup'!$C$11*0.00000024*$H94)/N(INDEX('2 Phases'!$G$7:$G$12,B94)))+(((R93*($G93-$F93)+N('1 Setup'!$F$11)*$F93)/$G93)-('1 Setup'!$G$11+('1 Setup'!$H$11*'1 Setup'!$C$11*0.00000024*$H94)/N(INDEX('2 Phases'!$G$7:$G$12,B94))))*EXP(-N(INDEX('2 Phases'!$G$7:$G$12,B94))))),MAX(0,((R93*($G93-$F93)+N('1 Setup'!$F$11)*$F93)/$G93)+('1 Setup'!$H$11*'1 Setup'!$C$11*0.00000024*$H94))))</f>
        <v/>
      </c>
      <c r="S94" s="18" t="str">
        <f aca="false">IF(OR($B94="",S93="",'1 Setup'!$C$12=""),"",IF(AND($C94="Continuous",N(INDEX('2 Phases'!$G$7:$G$12,B94))&gt;0),IF('1 Setup'!$G$12="","",MAX(0,('1 Setup'!$G$12+('1 Setup'!$H$12*'1 Setup'!$C$12*0.00000024*$H94)/N(INDEX('2 Phases'!$G$7:$G$12,B94)))+(((S93*($G93-$F93)+N('1 Setup'!$F$12)*$F93)/$G93)-('1 Setup'!$G$12+('1 Setup'!$H$12*'1 Setup'!$C$12*0.00000024*$H94)/N(INDEX('2 Phases'!$G$7:$G$12,B94))))*EXP(-N(INDEX('2 Phases'!$G$7:$G$12,B94))))),MAX(0,((S93*($G93-$F93)+N('1 Setup'!$F$12)*$F93)/$G93)+('1 Setup'!$H$12*'1 Setup'!$C$12*0.00000024*$H94))))</f>
        <v/>
      </c>
      <c r="T94" s="18" t="str">
        <f aca="false">IF(OR($B94="",T93="",'1 Setup'!$C$13=""),"",IF(AND($C94="Continuous",N(INDEX('2 Phases'!$G$7:$G$12,B94))&gt;0),IF('1 Setup'!$G$13="","",MAX(0,('1 Setup'!$G$13+('1 Setup'!$H$13*'1 Setup'!$C$13*0.00000024*$H94)/N(INDEX('2 Phases'!$G$7:$G$12,B94)))+(((T93*($G93-$F93)+N('1 Setup'!$F$13)*$F93)/$G93)-('1 Setup'!$G$13+('1 Setup'!$H$13*'1 Setup'!$C$13*0.00000024*$H94)/N(INDEX('2 Phases'!$G$7:$G$12,B94))))*EXP(-N(INDEX('2 Phases'!$G$7:$G$12,B94))))),MAX(0,((T93*($G93-$F93)+N('1 Setup'!$F$13)*$F93)/$G93)+('1 Setup'!$H$13*'1 Setup'!$C$13*0.00000024*$H94))))</f>
        <v/>
      </c>
      <c r="U94" s="18" t="str">
        <f aca="false">IF(OR($B94="",U93="",'1 Setup'!$C$14=""),"",IF(AND($C94="Continuous",N(INDEX('2 Phases'!$G$7:$G$12,B94))&gt;0),IF('1 Setup'!$G$14="","",MAX(0,('1 Setup'!$G$14+('1 Setup'!$H$14*'1 Setup'!$C$14*0.00000024*$H94)/N(INDEX('2 Phases'!$G$7:$G$12,B94)))+(((U93*($G93-$F93)+N('1 Setup'!$F$14)*$F93)/$G93)-('1 Setup'!$G$14+('1 Setup'!$H$14*'1 Setup'!$C$14*0.00000024*$H94)/N(INDEX('2 Phases'!$G$7:$G$12,B94))))*EXP(-N(INDEX('2 Phases'!$G$7:$G$12,B94))))),MAX(0,((U93*($G93-$F93)+N('1 Setup'!$F$14)*$F93)/$G93)+('1 Setup'!$H$14*'1 Setup'!$C$14*0.00000024*$H94))))</f>
        <v/>
      </c>
      <c r="V94" s="18" t="str">
        <f aca="false">IF($B94="","",E94/1000000*'1 Setup'!$B$7)</f>
        <v/>
      </c>
      <c r="W94" s="18" t="str">
        <f aca="false">IF($B94="","",V94*G94)</f>
        <v/>
      </c>
      <c r="X94" s="18" t="str">
        <f aca="false">IF($B94="","",P94*'1 Setup'!$B$7/1000000000)</f>
        <v/>
      </c>
      <c r="Y94" s="18" t="str">
        <f aca="false">IF($B94="","",L94*'1 Setup'!$B$7/1000000000)</f>
        <v/>
      </c>
    </row>
    <row r="95" customFormat="false" ht="15" hidden="false" customHeight="false" outlineLevel="0" collapsed="false">
      <c r="A95" s="7" t="n">
        <v>89</v>
      </c>
      <c r="B95" s="7" t="str">
        <f aca="false">IF(A95&gt;'2 Phases'!$D$4,"",IF(A95=0,1,COUNTIF('2 Phases'!$M$7:$M$12,"&lt;"&amp;A95)+1))</f>
        <v/>
      </c>
      <c r="C95" s="7" t="str">
        <f aca="false">IF($B95="","",INDEX('2 Phases'!$C$7:$C$12,B95))</f>
        <v/>
      </c>
      <c r="D95" s="7" t="str">
        <f aca="false">IF($B95="","",A95-INDEX('2 Phases'!$L$7:$L$12,B95))</f>
        <v/>
      </c>
      <c r="E95" s="14" t="str">
        <f aca="false">IF($B95="","",IFERROR(IF(C95="Continuous",INDEX('2 Phases'!$N$7:$N$12,B95)*EXP((INDEX('2 Phases'!$P$7:$P$12,B95)-N(INDEX('2 Phases'!$H$7:$H$12,B95)))*D95),INDEX('2 Phases'!$N$7:$N$12,B95)*(IF(INDEX('2 Phases'!$E$7:$E$12,B95)="",INDEX('2 Phases'!$N$7:$N$12,B95),INDEX('2 Phases'!$E$7:$E$12,B95))/INDEX('2 Phases'!$N$7:$N$12,B95))^(D95/INDEX('2 Phases'!$D$7:$D$12,B95))),""))</f>
        <v/>
      </c>
      <c r="F95" s="15" t="n">
        <f aca="false">IF(OR($B95="",C95&lt;&gt;"Fed-batch",D95=0),0,IFERROR(N(INDEX('3 Feed regimes'!$B$6:$E$35,D95,MATCH(INDEX('2 Phases'!$F$7:$F$12,B95),'3 Feed regimes'!$B$4:$E$4,0)))*'1 Setup'!$B$5/100,0))</f>
        <v>0</v>
      </c>
      <c r="G95" s="15" t="str">
        <f aca="false">IF($B95="","",G94+F95)</f>
        <v/>
      </c>
      <c r="H95" s="14" t="str">
        <f aca="false">IF($B95="","",(E94+E95)/2)</f>
        <v/>
      </c>
      <c r="I95" s="15" t="str">
        <f aca="false">IF($B95="","",IF(C95="Continuous",N(INDEX('2 Phases'!$G$7:$G$12,B95))*G94,0))</f>
        <v/>
      </c>
      <c r="J95" s="15" t="str">
        <f aca="false">IF($B95="","",IF(C95="Continuous",N(INDEX('2 Phases'!$H$7:$H$12,B95))*G94,0))</f>
        <v/>
      </c>
      <c r="K95" s="15" t="str">
        <f aca="false">IF($B95="","",I95-J95)</f>
        <v/>
      </c>
      <c r="L95" s="14" t="str">
        <f aca="false">IF($B95="","",J95*1000*H95)</f>
        <v/>
      </c>
      <c r="M95" s="15" t="str">
        <f aca="false">IF($B95="","",M94+F95+I95)</f>
        <v/>
      </c>
      <c r="N95" s="15" t="str">
        <f aca="false">IF($B95="","",N94+K95)</f>
        <v/>
      </c>
      <c r="O95" s="15" t="str">
        <f aca="false">IF($B95="","",O94+J95)</f>
        <v/>
      </c>
      <c r="P95" s="14" t="str">
        <f aca="false">IF($B95="","",P94+L95)</f>
        <v/>
      </c>
      <c r="Q95" s="18" t="str">
        <f aca="false">IF(OR($B95="",Q94="",'1 Setup'!$C$10=""),"",IF(AND($C95="Continuous",N(INDEX('2 Phases'!$G$7:$G$12,B95))&gt;0),IF('1 Setup'!$G$10="","",MAX(0,('1 Setup'!$G$10+('1 Setup'!$H$10*'1 Setup'!$C$10*0.00000024*$H95)/N(INDEX('2 Phases'!$G$7:$G$12,B95)))+(((Q94*($G94-$F94)+N('1 Setup'!$F$10)*$F94)/$G94)-('1 Setup'!$G$10+('1 Setup'!$H$10*'1 Setup'!$C$10*0.00000024*$H95)/N(INDEX('2 Phases'!$G$7:$G$12,B95))))*EXP(-N(INDEX('2 Phases'!$G$7:$G$12,B95))))),MAX(0,((Q94*($G94-$F94)+N('1 Setup'!$F$10)*$F94)/$G94)+('1 Setup'!$H$10*'1 Setup'!$C$10*0.00000024*$H95))))</f>
        <v/>
      </c>
      <c r="R95" s="18" t="str">
        <f aca="false">IF(OR($B95="",R94="",'1 Setup'!$C$11=""),"",IF(AND($C95="Continuous",N(INDEX('2 Phases'!$G$7:$G$12,B95))&gt;0),IF('1 Setup'!$G$11="","",MAX(0,('1 Setup'!$G$11+('1 Setup'!$H$11*'1 Setup'!$C$11*0.00000024*$H95)/N(INDEX('2 Phases'!$G$7:$G$12,B95)))+(((R94*($G94-$F94)+N('1 Setup'!$F$11)*$F94)/$G94)-('1 Setup'!$G$11+('1 Setup'!$H$11*'1 Setup'!$C$11*0.00000024*$H95)/N(INDEX('2 Phases'!$G$7:$G$12,B95))))*EXP(-N(INDEX('2 Phases'!$G$7:$G$12,B95))))),MAX(0,((R94*($G94-$F94)+N('1 Setup'!$F$11)*$F94)/$G94)+('1 Setup'!$H$11*'1 Setup'!$C$11*0.00000024*$H95))))</f>
        <v/>
      </c>
      <c r="S95" s="18" t="str">
        <f aca="false">IF(OR($B95="",S94="",'1 Setup'!$C$12=""),"",IF(AND($C95="Continuous",N(INDEX('2 Phases'!$G$7:$G$12,B95))&gt;0),IF('1 Setup'!$G$12="","",MAX(0,('1 Setup'!$G$12+('1 Setup'!$H$12*'1 Setup'!$C$12*0.00000024*$H95)/N(INDEX('2 Phases'!$G$7:$G$12,B95)))+(((S94*($G94-$F94)+N('1 Setup'!$F$12)*$F94)/$G94)-('1 Setup'!$G$12+('1 Setup'!$H$12*'1 Setup'!$C$12*0.00000024*$H95)/N(INDEX('2 Phases'!$G$7:$G$12,B95))))*EXP(-N(INDEX('2 Phases'!$G$7:$G$12,B95))))),MAX(0,((S94*($G94-$F94)+N('1 Setup'!$F$12)*$F94)/$G94)+('1 Setup'!$H$12*'1 Setup'!$C$12*0.00000024*$H95))))</f>
        <v/>
      </c>
      <c r="T95" s="18" t="str">
        <f aca="false">IF(OR($B95="",T94="",'1 Setup'!$C$13=""),"",IF(AND($C95="Continuous",N(INDEX('2 Phases'!$G$7:$G$12,B95))&gt;0),IF('1 Setup'!$G$13="","",MAX(0,('1 Setup'!$G$13+('1 Setup'!$H$13*'1 Setup'!$C$13*0.00000024*$H95)/N(INDEX('2 Phases'!$G$7:$G$12,B95)))+(((T94*($G94-$F94)+N('1 Setup'!$F$13)*$F94)/$G94)-('1 Setup'!$G$13+('1 Setup'!$H$13*'1 Setup'!$C$13*0.00000024*$H95)/N(INDEX('2 Phases'!$G$7:$G$12,B95))))*EXP(-N(INDEX('2 Phases'!$G$7:$G$12,B95))))),MAX(0,((T94*($G94-$F94)+N('1 Setup'!$F$13)*$F94)/$G94)+('1 Setup'!$H$13*'1 Setup'!$C$13*0.00000024*$H95))))</f>
        <v/>
      </c>
      <c r="U95" s="18" t="str">
        <f aca="false">IF(OR($B95="",U94="",'1 Setup'!$C$14=""),"",IF(AND($C95="Continuous",N(INDEX('2 Phases'!$G$7:$G$12,B95))&gt;0),IF('1 Setup'!$G$14="","",MAX(0,('1 Setup'!$G$14+('1 Setup'!$H$14*'1 Setup'!$C$14*0.00000024*$H95)/N(INDEX('2 Phases'!$G$7:$G$12,B95)))+(((U94*($G94-$F94)+N('1 Setup'!$F$14)*$F94)/$G94)-('1 Setup'!$G$14+('1 Setup'!$H$14*'1 Setup'!$C$14*0.00000024*$H95)/N(INDEX('2 Phases'!$G$7:$G$12,B95))))*EXP(-N(INDEX('2 Phases'!$G$7:$G$12,B95))))),MAX(0,((U94*($G94-$F94)+N('1 Setup'!$F$14)*$F94)/$G94)+('1 Setup'!$H$14*'1 Setup'!$C$14*0.00000024*$H95))))</f>
        <v/>
      </c>
      <c r="V95" s="18" t="str">
        <f aca="false">IF($B95="","",E95/1000000*'1 Setup'!$B$7)</f>
        <v/>
      </c>
      <c r="W95" s="18" t="str">
        <f aca="false">IF($B95="","",V95*G95)</f>
        <v/>
      </c>
      <c r="X95" s="18" t="str">
        <f aca="false">IF($B95="","",P95*'1 Setup'!$B$7/1000000000)</f>
        <v/>
      </c>
      <c r="Y95" s="18" t="str">
        <f aca="false">IF($B95="","",L95*'1 Setup'!$B$7/1000000000)</f>
        <v/>
      </c>
    </row>
    <row r="96" customFormat="false" ht="15" hidden="false" customHeight="false" outlineLevel="0" collapsed="false">
      <c r="A96" s="7" t="n">
        <v>90</v>
      </c>
      <c r="B96" s="7" t="str">
        <f aca="false">IF(A96&gt;'2 Phases'!$D$4,"",IF(A96=0,1,COUNTIF('2 Phases'!$M$7:$M$12,"&lt;"&amp;A96)+1))</f>
        <v/>
      </c>
      <c r="C96" s="7" t="str">
        <f aca="false">IF($B96="","",INDEX('2 Phases'!$C$7:$C$12,B96))</f>
        <v/>
      </c>
      <c r="D96" s="7" t="str">
        <f aca="false">IF($B96="","",A96-INDEX('2 Phases'!$L$7:$L$12,B96))</f>
        <v/>
      </c>
      <c r="E96" s="14" t="str">
        <f aca="false">IF($B96="","",IFERROR(IF(C96="Continuous",INDEX('2 Phases'!$N$7:$N$12,B96)*EXP((INDEX('2 Phases'!$P$7:$P$12,B96)-N(INDEX('2 Phases'!$H$7:$H$12,B96)))*D96),INDEX('2 Phases'!$N$7:$N$12,B96)*(IF(INDEX('2 Phases'!$E$7:$E$12,B96)="",INDEX('2 Phases'!$N$7:$N$12,B96),INDEX('2 Phases'!$E$7:$E$12,B96))/INDEX('2 Phases'!$N$7:$N$12,B96))^(D96/INDEX('2 Phases'!$D$7:$D$12,B96))),""))</f>
        <v/>
      </c>
      <c r="F96" s="15" t="n">
        <f aca="false">IF(OR($B96="",C96&lt;&gt;"Fed-batch",D96=0),0,IFERROR(N(INDEX('3 Feed regimes'!$B$6:$E$35,D96,MATCH(INDEX('2 Phases'!$F$7:$F$12,B96),'3 Feed regimes'!$B$4:$E$4,0)))*'1 Setup'!$B$5/100,0))</f>
        <v>0</v>
      </c>
      <c r="G96" s="15" t="str">
        <f aca="false">IF($B96="","",G95+F96)</f>
        <v/>
      </c>
      <c r="H96" s="14" t="str">
        <f aca="false">IF($B96="","",(E95+E96)/2)</f>
        <v/>
      </c>
      <c r="I96" s="15" t="str">
        <f aca="false">IF($B96="","",IF(C96="Continuous",N(INDEX('2 Phases'!$G$7:$G$12,B96))*G95,0))</f>
        <v/>
      </c>
      <c r="J96" s="15" t="str">
        <f aca="false">IF($B96="","",IF(C96="Continuous",N(INDEX('2 Phases'!$H$7:$H$12,B96))*G95,0))</f>
        <v/>
      </c>
      <c r="K96" s="15" t="str">
        <f aca="false">IF($B96="","",I96-J96)</f>
        <v/>
      </c>
      <c r="L96" s="14" t="str">
        <f aca="false">IF($B96="","",J96*1000*H96)</f>
        <v/>
      </c>
      <c r="M96" s="15" t="str">
        <f aca="false">IF($B96="","",M95+F96+I96)</f>
        <v/>
      </c>
      <c r="N96" s="15" t="str">
        <f aca="false">IF($B96="","",N95+K96)</f>
        <v/>
      </c>
      <c r="O96" s="15" t="str">
        <f aca="false">IF($B96="","",O95+J96)</f>
        <v/>
      </c>
      <c r="P96" s="14" t="str">
        <f aca="false">IF($B96="","",P95+L96)</f>
        <v/>
      </c>
      <c r="Q96" s="18" t="str">
        <f aca="false">IF(OR($B96="",Q95="",'1 Setup'!$C$10=""),"",IF(AND($C96="Continuous",N(INDEX('2 Phases'!$G$7:$G$12,B96))&gt;0),IF('1 Setup'!$G$10="","",MAX(0,('1 Setup'!$G$10+('1 Setup'!$H$10*'1 Setup'!$C$10*0.00000024*$H96)/N(INDEX('2 Phases'!$G$7:$G$12,B96)))+(((Q95*($G95-$F95)+N('1 Setup'!$F$10)*$F95)/$G95)-('1 Setup'!$G$10+('1 Setup'!$H$10*'1 Setup'!$C$10*0.00000024*$H96)/N(INDEX('2 Phases'!$G$7:$G$12,B96))))*EXP(-N(INDEX('2 Phases'!$G$7:$G$12,B96))))),MAX(0,((Q95*($G95-$F95)+N('1 Setup'!$F$10)*$F95)/$G95)+('1 Setup'!$H$10*'1 Setup'!$C$10*0.00000024*$H96))))</f>
        <v/>
      </c>
      <c r="R96" s="18" t="str">
        <f aca="false">IF(OR($B96="",R95="",'1 Setup'!$C$11=""),"",IF(AND($C96="Continuous",N(INDEX('2 Phases'!$G$7:$G$12,B96))&gt;0),IF('1 Setup'!$G$11="","",MAX(0,('1 Setup'!$G$11+('1 Setup'!$H$11*'1 Setup'!$C$11*0.00000024*$H96)/N(INDEX('2 Phases'!$G$7:$G$12,B96)))+(((R95*($G95-$F95)+N('1 Setup'!$F$11)*$F95)/$G95)-('1 Setup'!$G$11+('1 Setup'!$H$11*'1 Setup'!$C$11*0.00000024*$H96)/N(INDEX('2 Phases'!$G$7:$G$12,B96))))*EXP(-N(INDEX('2 Phases'!$G$7:$G$12,B96))))),MAX(0,((R95*($G95-$F95)+N('1 Setup'!$F$11)*$F95)/$G95)+('1 Setup'!$H$11*'1 Setup'!$C$11*0.00000024*$H96))))</f>
        <v/>
      </c>
      <c r="S96" s="18" t="str">
        <f aca="false">IF(OR($B96="",S95="",'1 Setup'!$C$12=""),"",IF(AND($C96="Continuous",N(INDEX('2 Phases'!$G$7:$G$12,B96))&gt;0),IF('1 Setup'!$G$12="","",MAX(0,('1 Setup'!$G$12+('1 Setup'!$H$12*'1 Setup'!$C$12*0.00000024*$H96)/N(INDEX('2 Phases'!$G$7:$G$12,B96)))+(((S95*($G95-$F95)+N('1 Setup'!$F$12)*$F95)/$G95)-('1 Setup'!$G$12+('1 Setup'!$H$12*'1 Setup'!$C$12*0.00000024*$H96)/N(INDEX('2 Phases'!$G$7:$G$12,B96))))*EXP(-N(INDEX('2 Phases'!$G$7:$G$12,B96))))),MAX(0,((S95*($G95-$F95)+N('1 Setup'!$F$12)*$F95)/$G95)+('1 Setup'!$H$12*'1 Setup'!$C$12*0.00000024*$H96))))</f>
        <v/>
      </c>
      <c r="T96" s="18" t="str">
        <f aca="false">IF(OR($B96="",T95="",'1 Setup'!$C$13=""),"",IF(AND($C96="Continuous",N(INDEX('2 Phases'!$G$7:$G$12,B96))&gt;0),IF('1 Setup'!$G$13="","",MAX(0,('1 Setup'!$G$13+('1 Setup'!$H$13*'1 Setup'!$C$13*0.00000024*$H96)/N(INDEX('2 Phases'!$G$7:$G$12,B96)))+(((T95*($G95-$F95)+N('1 Setup'!$F$13)*$F95)/$G95)-('1 Setup'!$G$13+('1 Setup'!$H$13*'1 Setup'!$C$13*0.00000024*$H96)/N(INDEX('2 Phases'!$G$7:$G$12,B96))))*EXP(-N(INDEX('2 Phases'!$G$7:$G$12,B96))))),MAX(0,((T95*($G95-$F95)+N('1 Setup'!$F$13)*$F95)/$G95)+('1 Setup'!$H$13*'1 Setup'!$C$13*0.00000024*$H96))))</f>
        <v/>
      </c>
      <c r="U96" s="18" t="str">
        <f aca="false">IF(OR($B96="",U95="",'1 Setup'!$C$14=""),"",IF(AND($C96="Continuous",N(INDEX('2 Phases'!$G$7:$G$12,B96))&gt;0),IF('1 Setup'!$G$14="","",MAX(0,('1 Setup'!$G$14+('1 Setup'!$H$14*'1 Setup'!$C$14*0.00000024*$H96)/N(INDEX('2 Phases'!$G$7:$G$12,B96)))+(((U95*($G95-$F95)+N('1 Setup'!$F$14)*$F95)/$G95)-('1 Setup'!$G$14+('1 Setup'!$H$14*'1 Setup'!$C$14*0.00000024*$H96)/N(INDEX('2 Phases'!$G$7:$G$12,B96))))*EXP(-N(INDEX('2 Phases'!$G$7:$G$12,B96))))),MAX(0,((U95*($G95-$F95)+N('1 Setup'!$F$14)*$F95)/$G95)+('1 Setup'!$H$14*'1 Setup'!$C$14*0.00000024*$H96))))</f>
        <v/>
      </c>
      <c r="V96" s="18" t="str">
        <f aca="false">IF($B96="","",E96/1000000*'1 Setup'!$B$7)</f>
        <v/>
      </c>
      <c r="W96" s="18" t="str">
        <f aca="false">IF($B96="","",V96*G96)</f>
        <v/>
      </c>
      <c r="X96" s="18" t="str">
        <f aca="false">IF($B96="","",P96*'1 Setup'!$B$7/1000000000)</f>
        <v/>
      </c>
      <c r="Y96" s="18" t="str">
        <f aca="false">IF($B96="","",L96*'1 Setup'!$B$7/1000000000)</f>
        <v/>
      </c>
    </row>
    <row r="97" customFormat="false" ht="15" hidden="false" customHeight="false" outlineLevel="0" collapsed="false">
      <c r="A97" s="7" t="n">
        <v>91</v>
      </c>
      <c r="B97" s="7" t="str">
        <f aca="false">IF(A97&gt;'2 Phases'!$D$4,"",IF(A97=0,1,COUNTIF('2 Phases'!$M$7:$M$12,"&lt;"&amp;A97)+1))</f>
        <v/>
      </c>
      <c r="C97" s="7" t="str">
        <f aca="false">IF($B97="","",INDEX('2 Phases'!$C$7:$C$12,B97))</f>
        <v/>
      </c>
      <c r="D97" s="7" t="str">
        <f aca="false">IF($B97="","",A97-INDEX('2 Phases'!$L$7:$L$12,B97))</f>
        <v/>
      </c>
      <c r="E97" s="14" t="str">
        <f aca="false">IF($B97="","",IFERROR(IF(C97="Continuous",INDEX('2 Phases'!$N$7:$N$12,B97)*EXP((INDEX('2 Phases'!$P$7:$P$12,B97)-N(INDEX('2 Phases'!$H$7:$H$12,B97)))*D97),INDEX('2 Phases'!$N$7:$N$12,B97)*(IF(INDEX('2 Phases'!$E$7:$E$12,B97)="",INDEX('2 Phases'!$N$7:$N$12,B97),INDEX('2 Phases'!$E$7:$E$12,B97))/INDEX('2 Phases'!$N$7:$N$12,B97))^(D97/INDEX('2 Phases'!$D$7:$D$12,B97))),""))</f>
        <v/>
      </c>
      <c r="F97" s="15" t="n">
        <f aca="false">IF(OR($B97="",C97&lt;&gt;"Fed-batch",D97=0),0,IFERROR(N(INDEX('3 Feed regimes'!$B$6:$E$35,D97,MATCH(INDEX('2 Phases'!$F$7:$F$12,B97),'3 Feed regimes'!$B$4:$E$4,0)))*'1 Setup'!$B$5/100,0))</f>
        <v>0</v>
      </c>
      <c r="G97" s="15" t="str">
        <f aca="false">IF($B97="","",G96+F97)</f>
        <v/>
      </c>
      <c r="H97" s="14" t="str">
        <f aca="false">IF($B97="","",(E96+E97)/2)</f>
        <v/>
      </c>
      <c r="I97" s="15" t="str">
        <f aca="false">IF($B97="","",IF(C97="Continuous",N(INDEX('2 Phases'!$G$7:$G$12,B97))*G96,0))</f>
        <v/>
      </c>
      <c r="J97" s="15" t="str">
        <f aca="false">IF($B97="","",IF(C97="Continuous",N(INDEX('2 Phases'!$H$7:$H$12,B97))*G96,0))</f>
        <v/>
      </c>
      <c r="K97" s="15" t="str">
        <f aca="false">IF($B97="","",I97-J97)</f>
        <v/>
      </c>
      <c r="L97" s="14" t="str">
        <f aca="false">IF($B97="","",J97*1000*H97)</f>
        <v/>
      </c>
      <c r="M97" s="15" t="str">
        <f aca="false">IF($B97="","",M96+F97+I97)</f>
        <v/>
      </c>
      <c r="N97" s="15" t="str">
        <f aca="false">IF($B97="","",N96+K97)</f>
        <v/>
      </c>
      <c r="O97" s="15" t="str">
        <f aca="false">IF($B97="","",O96+J97)</f>
        <v/>
      </c>
      <c r="P97" s="14" t="str">
        <f aca="false">IF($B97="","",P96+L97)</f>
        <v/>
      </c>
      <c r="Q97" s="18" t="str">
        <f aca="false">IF(OR($B97="",Q96="",'1 Setup'!$C$10=""),"",IF(AND($C97="Continuous",N(INDEX('2 Phases'!$G$7:$G$12,B97))&gt;0),IF('1 Setup'!$G$10="","",MAX(0,('1 Setup'!$G$10+('1 Setup'!$H$10*'1 Setup'!$C$10*0.00000024*$H97)/N(INDEX('2 Phases'!$G$7:$G$12,B97)))+(((Q96*($G96-$F96)+N('1 Setup'!$F$10)*$F96)/$G96)-('1 Setup'!$G$10+('1 Setup'!$H$10*'1 Setup'!$C$10*0.00000024*$H97)/N(INDEX('2 Phases'!$G$7:$G$12,B97))))*EXP(-N(INDEX('2 Phases'!$G$7:$G$12,B97))))),MAX(0,((Q96*($G96-$F96)+N('1 Setup'!$F$10)*$F96)/$G96)+('1 Setup'!$H$10*'1 Setup'!$C$10*0.00000024*$H97))))</f>
        <v/>
      </c>
      <c r="R97" s="18" t="str">
        <f aca="false">IF(OR($B97="",R96="",'1 Setup'!$C$11=""),"",IF(AND($C97="Continuous",N(INDEX('2 Phases'!$G$7:$G$12,B97))&gt;0),IF('1 Setup'!$G$11="","",MAX(0,('1 Setup'!$G$11+('1 Setup'!$H$11*'1 Setup'!$C$11*0.00000024*$H97)/N(INDEX('2 Phases'!$G$7:$G$12,B97)))+(((R96*($G96-$F96)+N('1 Setup'!$F$11)*$F96)/$G96)-('1 Setup'!$G$11+('1 Setup'!$H$11*'1 Setup'!$C$11*0.00000024*$H97)/N(INDEX('2 Phases'!$G$7:$G$12,B97))))*EXP(-N(INDEX('2 Phases'!$G$7:$G$12,B97))))),MAX(0,((R96*($G96-$F96)+N('1 Setup'!$F$11)*$F96)/$G96)+('1 Setup'!$H$11*'1 Setup'!$C$11*0.00000024*$H97))))</f>
        <v/>
      </c>
      <c r="S97" s="18" t="str">
        <f aca="false">IF(OR($B97="",S96="",'1 Setup'!$C$12=""),"",IF(AND($C97="Continuous",N(INDEX('2 Phases'!$G$7:$G$12,B97))&gt;0),IF('1 Setup'!$G$12="","",MAX(0,('1 Setup'!$G$12+('1 Setup'!$H$12*'1 Setup'!$C$12*0.00000024*$H97)/N(INDEX('2 Phases'!$G$7:$G$12,B97)))+(((S96*($G96-$F96)+N('1 Setup'!$F$12)*$F96)/$G96)-('1 Setup'!$G$12+('1 Setup'!$H$12*'1 Setup'!$C$12*0.00000024*$H97)/N(INDEX('2 Phases'!$G$7:$G$12,B97))))*EXP(-N(INDEX('2 Phases'!$G$7:$G$12,B97))))),MAX(0,((S96*($G96-$F96)+N('1 Setup'!$F$12)*$F96)/$G96)+('1 Setup'!$H$12*'1 Setup'!$C$12*0.00000024*$H97))))</f>
        <v/>
      </c>
      <c r="T97" s="18" t="str">
        <f aca="false">IF(OR($B97="",T96="",'1 Setup'!$C$13=""),"",IF(AND($C97="Continuous",N(INDEX('2 Phases'!$G$7:$G$12,B97))&gt;0),IF('1 Setup'!$G$13="","",MAX(0,('1 Setup'!$G$13+('1 Setup'!$H$13*'1 Setup'!$C$13*0.00000024*$H97)/N(INDEX('2 Phases'!$G$7:$G$12,B97)))+(((T96*($G96-$F96)+N('1 Setup'!$F$13)*$F96)/$G96)-('1 Setup'!$G$13+('1 Setup'!$H$13*'1 Setup'!$C$13*0.00000024*$H97)/N(INDEX('2 Phases'!$G$7:$G$12,B97))))*EXP(-N(INDEX('2 Phases'!$G$7:$G$12,B97))))),MAX(0,((T96*($G96-$F96)+N('1 Setup'!$F$13)*$F96)/$G96)+('1 Setup'!$H$13*'1 Setup'!$C$13*0.00000024*$H97))))</f>
        <v/>
      </c>
      <c r="U97" s="18" t="str">
        <f aca="false">IF(OR($B97="",U96="",'1 Setup'!$C$14=""),"",IF(AND($C97="Continuous",N(INDEX('2 Phases'!$G$7:$G$12,B97))&gt;0),IF('1 Setup'!$G$14="","",MAX(0,('1 Setup'!$G$14+('1 Setup'!$H$14*'1 Setup'!$C$14*0.00000024*$H97)/N(INDEX('2 Phases'!$G$7:$G$12,B97)))+(((U96*($G96-$F96)+N('1 Setup'!$F$14)*$F96)/$G96)-('1 Setup'!$G$14+('1 Setup'!$H$14*'1 Setup'!$C$14*0.00000024*$H97)/N(INDEX('2 Phases'!$G$7:$G$12,B97))))*EXP(-N(INDEX('2 Phases'!$G$7:$G$12,B97))))),MAX(0,((U96*($G96-$F96)+N('1 Setup'!$F$14)*$F96)/$G96)+('1 Setup'!$H$14*'1 Setup'!$C$14*0.00000024*$H97))))</f>
        <v/>
      </c>
      <c r="V97" s="18" t="str">
        <f aca="false">IF($B97="","",E97/1000000*'1 Setup'!$B$7)</f>
        <v/>
      </c>
      <c r="W97" s="18" t="str">
        <f aca="false">IF($B97="","",V97*G97)</f>
        <v/>
      </c>
      <c r="X97" s="18" t="str">
        <f aca="false">IF($B97="","",P97*'1 Setup'!$B$7/1000000000)</f>
        <v/>
      </c>
      <c r="Y97" s="18" t="str">
        <f aca="false">IF($B97="","",L97*'1 Setup'!$B$7/1000000000)</f>
        <v/>
      </c>
    </row>
    <row r="98" customFormat="false" ht="15" hidden="false" customHeight="false" outlineLevel="0" collapsed="false">
      <c r="A98" s="7" t="n">
        <v>92</v>
      </c>
      <c r="B98" s="7" t="str">
        <f aca="false">IF(A98&gt;'2 Phases'!$D$4,"",IF(A98=0,1,COUNTIF('2 Phases'!$M$7:$M$12,"&lt;"&amp;A98)+1))</f>
        <v/>
      </c>
      <c r="C98" s="7" t="str">
        <f aca="false">IF($B98="","",INDEX('2 Phases'!$C$7:$C$12,B98))</f>
        <v/>
      </c>
      <c r="D98" s="7" t="str">
        <f aca="false">IF($B98="","",A98-INDEX('2 Phases'!$L$7:$L$12,B98))</f>
        <v/>
      </c>
      <c r="E98" s="14" t="str">
        <f aca="false">IF($B98="","",IFERROR(IF(C98="Continuous",INDEX('2 Phases'!$N$7:$N$12,B98)*EXP((INDEX('2 Phases'!$P$7:$P$12,B98)-N(INDEX('2 Phases'!$H$7:$H$12,B98)))*D98),INDEX('2 Phases'!$N$7:$N$12,B98)*(IF(INDEX('2 Phases'!$E$7:$E$12,B98)="",INDEX('2 Phases'!$N$7:$N$12,B98),INDEX('2 Phases'!$E$7:$E$12,B98))/INDEX('2 Phases'!$N$7:$N$12,B98))^(D98/INDEX('2 Phases'!$D$7:$D$12,B98))),""))</f>
        <v/>
      </c>
      <c r="F98" s="15" t="n">
        <f aca="false">IF(OR($B98="",C98&lt;&gt;"Fed-batch",D98=0),0,IFERROR(N(INDEX('3 Feed regimes'!$B$6:$E$35,D98,MATCH(INDEX('2 Phases'!$F$7:$F$12,B98),'3 Feed regimes'!$B$4:$E$4,0)))*'1 Setup'!$B$5/100,0))</f>
        <v>0</v>
      </c>
      <c r="G98" s="15" t="str">
        <f aca="false">IF($B98="","",G97+F98)</f>
        <v/>
      </c>
      <c r="H98" s="14" t="str">
        <f aca="false">IF($B98="","",(E97+E98)/2)</f>
        <v/>
      </c>
      <c r="I98" s="15" t="str">
        <f aca="false">IF($B98="","",IF(C98="Continuous",N(INDEX('2 Phases'!$G$7:$G$12,B98))*G97,0))</f>
        <v/>
      </c>
      <c r="J98" s="15" t="str">
        <f aca="false">IF($B98="","",IF(C98="Continuous",N(INDEX('2 Phases'!$H$7:$H$12,B98))*G97,0))</f>
        <v/>
      </c>
      <c r="K98" s="15" t="str">
        <f aca="false">IF($B98="","",I98-J98)</f>
        <v/>
      </c>
      <c r="L98" s="14" t="str">
        <f aca="false">IF($B98="","",J98*1000*H98)</f>
        <v/>
      </c>
      <c r="M98" s="15" t="str">
        <f aca="false">IF($B98="","",M97+F98+I98)</f>
        <v/>
      </c>
      <c r="N98" s="15" t="str">
        <f aca="false">IF($B98="","",N97+K98)</f>
        <v/>
      </c>
      <c r="O98" s="15" t="str">
        <f aca="false">IF($B98="","",O97+J98)</f>
        <v/>
      </c>
      <c r="P98" s="14" t="str">
        <f aca="false">IF($B98="","",P97+L98)</f>
        <v/>
      </c>
      <c r="Q98" s="18" t="str">
        <f aca="false">IF(OR($B98="",Q97="",'1 Setup'!$C$10=""),"",IF(AND($C98="Continuous",N(INDEX('2 Phases'!$G$7:$G$12,B98))&gt;0),IF('1 Setup'!$G$10="","",MAX(0,('1 Setup'!$G$10+('1 Setup'!$H$10*'1 Setup'!$C$10*0.00000024*$H98)/N(INDEX('2 Phases'!$G$7:$G$12,B98)))+(((Q97*($G97-$F97)+N('1 Setup'!$F$10)*$F97)/$G97)-('1 Setup'!$G$10+('1 Setup'!$H$10*'1 Setup'!$C$10*0.00000024*$H98)/N(INDEX('2 Phases'!$G$7:$G$12,B98))))*EXP(-N(INDEX('2 Phases'!$G$7:$G$12,B98))))),MAX(0,((Q97*($G97-$F97)+N('1 Setup'!$F$10)*$F97)/$G97)+('1 Setup'!$H$10*'1 Setup'!$C$10*0.00000024*$H98))))</f>
        <v/>
      </c>
      <c r="R98" s="18" t="str">
        <f aca="false">IF(OR($B98="",R97="",'1 Setup'!$C$11=""),"",IF(AND($C98="Continuous",N(INDEX('2 Phases'!$G$7:$G$12,B98))&gt;0),IF('1 Setup'!$G$11="","",MAX(0,('1 Setup'!$G$11+('1 Setup'!$H$11*'1 Setup'!$C$11*0.00000024*$H98)/N(INDEX('2 Phases'!$G$7:$G$12,B98)))+(((R97*($G97-$F97)+N('1 Setup'!$F$11)*$F97)/$G97)-('1 Setup'!$G$11+('1 Setup'!$H$11*'1 Setup'!$C$11*0.00000024*$H98)/N(INDEX('2 Phases'!$G$7:$G$12,B98))))*EXP(-N(INDEX('2 Phases'!$G$7:$G$12,B98))))),MAX(0,((R97*($G97-$F97)+N('1 Setup'!$F$11)*$F97)/$G97)+('1 Setup'!$H$11*'1 Setup'!$C$11*0.00000024*$H98))))</f>
        <v/>
      </c>
      <c r="S98" s="18" t="str">
        <f aca="false">IF(OR($B98="",S97="",'1 Setup'!$C$12=""),"",IF(AND($C98="Continuous",N(INDEX('2 Phases'!$G$7:$G$12,B98))&gt;0),IF('1 Setup'!$G$12="","",MAX(0,('1 Setup'!$G$12+('1 Setup'!$H$12*'1 Setup'!$C$12*0.00000024*$H98)/N(INDEX('2 Phases'!$G$7:$G$12,B98)))+(((S97*($G97-$F97)+N('1 Setup'!$F$12)*$F97)/$G97)-('1 Setup'!$G$12+('1 Setup'!$H$12*'1 Setup'!$C$12*0.00000024*$H98)/N(INDEX('2 Phases'!$G$7:$G$12,B98))))*EXP(-N(INDEX('2 Phases'!$G$7:$G$12,B98))))),MAX(0,((S97*($G97-$F97)+N('1 Setup'!$F$12)*$F97)/$G97)+('1 Setup'!$H$12*'1 Setup'!$C$12*0.00000024*$H98))))</f>
        <v/>
      </c>
      <c r="T98" s="18" t="str">
        <f aca="false">IF(OR($B98="",T97="",'1 Setup'!$C$13=""),"",IF(AND($C98="Continuous",N(INDEX('2 Phases'!$G$7:$G$12,B98))&gt;0),IF('1 Setup'!$G$13="","",MAX(0,('1 Setup'!$G$13+('1 Setup'!$H$13*'1 Setup'!$C$13*0.00000024*$H98)/N(INDEX('2 Phases'!$G$7:$G$12,B98)))+(((T97*($G97-$F97)+N('1 Setup'!$F$13)*$F97)/$G97)-('1 Setup'!$G$13+('1 Setup'!$H$13*'1 Setup'!$C$13*0.00000024*$H98)/N(INDEX('2 Phases'!$G$7:$G$12,B98))))*EXP(-N(INDEX('2 Phases'!$G$7:$G$12,B98))))),MAX(0,((T97*($G97-$F97)+N('1 Setup'!$F$13)*$F97)/$G97)+('1 Setup'!$H$13*'1 Setup'!$C$13*0.00000024*$H98))))</f>
        <v/>
      </c>
      <c r="U98" s="18" t="str">
        <f aca="false">IF(OR($B98="",U97="",'1 Setup'!$C$14=""),"",IF(AND($C98="Continuous",N(INDEX('2 Phases'!$G$7:$G$12,B98))&gt;0),IF('1 Setup'!$G$14="","",MAX(0,('1 Setup'!$G$14+('1 Setup'!$H$14*'1 Setup'!$C$14*0.00000024*$H98)/N(INDEX('2 Phases'!$G$7:$G$12,B98)))+(((U97*($G97-$F97)+N('1 Setup'!$F$14)*$F97)/$G97)-('1 Setup'!$G$14+('1 Setup'!$H$14*'1 Setup'!$C$14*0.00000024*$H98)/N(INDEX('2 Phases'!$G$7:$G$12,B98))))*EXP(-N(INDEX('2 Phases'!$G$7:$G$12,B98))))),MAX(0,((U97*($G97-$F97)+N('1 Setup'!$F$14)*$F97)/$G97)+('1 Setup'!$H$14*'1 Setup'!$C$14*0.00000024*$H98))))</f>
        <v/>
      </c>
      <c r="V98" s="18" t="str">
        <f aca="false">IF($B98="","",E98/1000000*'1 Setup'!$B$7)</f>
        <v/>
      </c>
      <c r="W98" s="18" t="str">
        <f aca="false">IF($B98="","",V98*G98)</f>
        <v/>
      </c>
      <c r="X98" s="18" t="str">
        <f aca="false">IF($B98="","",P98*'1 Setup'!$B$7/1000000000)</f>
        <v/>
      </c>
      <c r="Y98" s="18" t="str">
        <f aca="false">IF($B98="","",L98*'1 Setup'!$B$7/1000000000)</f>
        <v/>
      </c>
    </row>
    <row r="99" customFormat="false" ht="15" hidden="false" customHeight="false" outlineLevel="0" collapsed="false">
      <c r="A99" s="7" t="n">
        <v>93</v>
      </c>
      <c r="B99" s="7" t="str">
        <f aca="false">IF(A99&gt;'2 Phases'!$D$4,"",IF(A99=0,1,COUNTIF('2 Phases'!$M$7:$M$12,"&lt;"&amp;A99)+1))</f>
        <v/>
      </c>
      <c r="C99" s="7" t="str">
        <f aca="false">IF($B99="","",INDEX('2 Phases'!$C$7:$C$12,B99))</f>
        <v/>
      </c>
      <c r="D99" s="7" t="str">
        <f aca="false">IF($B99="","",A99-INDEX('2 Phases'!$L$7:$L$12,B99))</f>
        <v/>
      </c>
      <c r="E99" s="14" t="str">
        <f aca="false">IF($B99="","",IFERROR(IF(C99="Continuous",INDEX('2 Phases'!$N$7:$N$12,B99)*EXP((INDEX('2 Phases'!$P$7:$P$12,B99)-N(INDEX('2 Phases'!$H$7:$H$12,B99)))*D99),INDEX('2 Phases'!$N$7:$N$12,B99)*(IF(INDEX('2 Phases'!$E$7:$E$12,B99)="",INDEX('2 Phases'!$N$7:$N$12,B99),INDEX('2 Phases'!$E$7:$E$12,B99))/INDEX('2 Phases'!$N$7:$N$12,B99))^(D99/INDEX('2 Phases'!$D$7:$D$12,B99))),""))</f>
        <v/>
      </c>
      <c r="F99" s="15" t="n">
        <f aca="false">IF(OR($B99="",C99&lt;&gt;"Fed-batch",D99=0),0,IFERROR(N(INDEX('3 Feed regimes'!$B$6:$E$35,D99,MATCH(INDEX('2 Phases'!$F$7:$F$12,B99),'3 Feed regimes'!$B$4:$E$4,0)))*'1 Setup'!$B$5/100,0))</f>
        <v>0</v>
      </c>
      <c r="G99" s="15" t="str">
        <f aca="false">IF($B99="","",G98+F99)</f>
        <v/>
      </c>
      <c r="H99" s="14" t="str">
        <f aca="false">IF($B99="","",(E98+E99)/2)</f>
        <v/>
      </c>
      <c r="I99" s="15" t="str">
        <f aca="false">IF($B99="","",IF(C99="Continuous",N(INDEX('2 Phases'!$G$7:$G$12,B99))*G98,0))</f>
        <v/>
      </c>
      <c r="J99" s="15" t="str">
        <f aca="false">IF($B99="","",IF(C99="Continuous",N(INDEX('2 Phases'!$H$7:$H$12,B99))*G98,0))</f>
        <v/>
      </c>
      <c r="K99" s="15" t="str">
        <f aca="false">IF($B99="","",I99-J99)</f>
        <v/>
      </c>
      <c r="L99" s="14" t="str">
        <f aca="false">IF($B99="","",J99*1000*H99)</f>
        <v/>
      </c>
      <c r="M99" s="15" t="str">
        <f aca="false">IF($B99="","",M98+F99+I99)</f>
        <v/>
      </c>
      <c r="N99" s="15" t="str">
        <f aca="false">IF($B99="","",N98+K99)</f>
        <v/>
      </c>
      <c r="O99" s="15" t="str">
        <f aca="false">IF($B99="","",O98+J99)</f>
        <v/>
      </c>
      <c r="P99" s="14" t="str">
        <f aca="false">IF($B99="","",P98+L99)</f>
        <v/>
      </c>
      <c r="Q99" s="18" t="str">
        <f aca="false">IF(OR($B99="",Q98="",'1 Setup'!$C$10=""),"",IF(AND($C99="Continuous",N(INDEX('2 Phases'!$G$7:$G$12,B99))&gt;0),IF('1 Setup'!$G$10="","",MAX(0,('1 Setup'!$G$10+('1 Setup'!$H$10*'1 Setup'!$C$10*0.00000024*$H99)/N(INDEX('2 Phases'!$G$7:$G$12,B99)))+(((Q98*($G98-$F98)+N('1 Setup'!$F$10)*$F98)/$G98)-('1 Setup'!$G$10+('1 Setup'!$H$10*'1 Setup'!$C$10*0.00000024*$H99)/N(INDEX('2 Phases'!$G$7:$G$12,B99))))*EXP(-N(INDEX('2 Phases'!$G$7:$G$12,B99))))),MAX(0,((Q98*($G98-$F98)+N('1 Setup'!$F$10)*$F98)/$G98)+('1 Setup'!$H$10*'1 Setup'!$C$10*0.00000024*$H99))))</f>
        <v/>
      </c>
      <c r="R99" s="18" t="str">
        <f aca="false">IF(OR($B99="",R98="",'1 Setup'!$C$11=""),"",IF(AND($C99="Continuous",N(INDEX('2 Phases'!$G$7:$G$12,B99))&gt;0),IF('1 Setup'!$G$11="","",MAX(0,('1 Setup'!$G$11+('1 Setup'!$H$11*'1 Setup'!$C$11*0.00000024*$H99)/N(INDEX('2 Phases'!$G$7:$G$12,B99)))+(((R98*($G98-$F98)+N('1 Setup'!$F$11)*$F98)/$G98)-('1 Setup'!$G$11+('1 Setup'!$H$11*'1 Setup'!$C$11*0.00000024*$H99)/N(INDEX('2 Phases'!$G$7:$G$12,B99))))*EXP(-N(INDEX('2 Phases'!$G$7:$G$12,B99))))),MAX(0,((R98*($G98-$F98)+N('1 Setup'!$F$11)*$F98)/$G98)+('1 Setup'!$H$11*'1 Setup'!$C$11*0.00000024*$H99))))</f>
        <v/>
      </c>
      <c r="S99" s="18" t="str">
        <f aca="false">IF(OR($B99="",S98="",'1 Setup'!$C$12=""),"",IF(AND($C99="Continuous",N(INDEX('2 Phases'!$G$7:$G$12,B99))&gt;0),IF('1 Setup'!$G$12="","",MAX(0,('1 Setup'!$G$12+('1 Setup'!$H$12*'1 Setup'!$C$12*0.00000024*$H99)/N(INDEX('2 Phases'!$G$7:$G$12,B99)))+(((S98*($G98-$F98)+N('1 Setup'!$F$12)*$F98)/$G98)-('1 Setup'!$G$12+('1 Setup'!$H$12*'1 Setup'!$C$12*0.00000024*$H99)/N(INDEX('2 Phases'!$G$7:$G$12,B99))))*EXP(-N(INDEX('2 Phases'!$G$7:$G$12,B99))))),MAX(0,((S98*($G98-$F98)+N('1 Setup'!$F$12)*$F98)/$G98)+('1 Setup'!$H$12*'1 Setup'!$C$12*0.00000024*$H99))))</f>
        <v/>
      </c>
      <c r="T99" s="18" t="str">
        <f aca="false">IF(OR($B99="",T98="",'1 Setup'!$C$13=""),"",IF(AND($C99="Continuous",N(INDEX('2 Phases'!$G$7:$G$12,B99))&gt;0),IF('1 Setup'!$G$13="","",MAX(0,('1 Setup'!$G$13+('1 Setup'!$H$13*'1 Setup'!$C$13*0.00000024*$H99)/N(INDEX('2 Phases'!$G$7:$G$12,B99)))+(((T98*($G98-$F98)+N('1 Setup'!$F$13)*$F98)/$G98)-('1 Setup'!$G$13+('1 Setup'!$H$13*'1 Setup'!$C$13*0.00000024*$H99)/N(INDEX('2 Phases'!$G$7:$G$12,B99))))*EXP(-N(INDEX('2 Phases'!$G$7:$G$12,B99))))),MAX(0,((T98*($G98-$F98)+N('1 Setup'!$F$13)*$F98)/$G98)+('1 Setup'!$H$13*'1 Setup'!$C$13*0.00000024*$H99))))</f>
        <v/>
      </c>
      <c r="U99" s="18" t="str">
        <f aca="false">IF(OR($B99="",U98="",'1 Setup'!$C$14=""),"",IF(AND($C99="Continuous",N(INDEX('2 Phases'!$G$7:$G$12,B99))&gt;0),IF('1 Setup'!$G$14="","",MAX(0,('1 Setup'!$G$14+('1 Setup'!$H$14*'1 Setup'!$C$14*0.00000024*$H99)/N(INDEX('2 Phases'!$G$7:$G$12,B99)))+(((U98*($G98-$F98)+N('1 Setup'!$F$14)*$F98)/$G98)-('1 Setup'!$G$14+('1 Setup'!$H$14*'1 Setup'!$C$14*0.00000024*$H99)/N(INDEX('2 Phases'!$G$7:$G$12,B99))))*EXP(-N(INDEX('2 Phases'!$G$7:$G$12,B99))))),MAX(0,((U98*($G98-$F98)+N('1 Setup'!$F$14)*$F98)/$G98)+('1 Setup'!$H$14*'1 Setup'!$C$14*0.00000024*$H99))))</f>
        <v/>
      </c>
      <c r="V99" s="18" t="str">
        <f aca="false">IF($B99="","",E99/1000000*'1 Setup'!$B$7)</f>
        <v/>
      </c>
      <c r="W99" s="18" t="str">
        <f aca="false">IF($B99="","",V99*G99)</f>
        <v/>
      </c>
      <c r="X99" s="18" t="str">
        <f aca="false">IF($B99="","",P99*'1 Setup'!$B$7/1000000000)</f>
        <v/>
      </c>
      <c r="Y99" s="18" t="str">
        <f aca="false">IF($B99="","",L99*'1 Setup'!$B$7/1000000000)</f>
        <v/>
      </c>
    </row>
    <row r="100" customFormat="false" ht="15" hidden="false" customHeight="false" outlineLevel="0" collapsed="false">
      <c r="A100" s="7" t="n">
        <v>94</v>
      </c>
      <c r="B100" s="7" t="str">
        <f aca="false">IF(A100&gt;'2 Phases'!$D$4,"",IF(A100=0,1,COUNTIF('2 Phases'!$M$7:$M$12,"&lt;"&amp;A100)+1))</f>
        <v/>
      </c>
      <c r="C100" s="7" t="str">
        <f aca="false">IF($B100="","",INDEX('2 Phases'!$C$7:$C$12,B100))</f>
        <v/>
      </c>
      <c r="D100" s="7" t="str">
        <f aca="false">IF($B100="","",A100-INDEX('2 Phases'!$L$7:$L$12,B100))</f>
        <v/>
      </c>
      <c r="E100" s="14" t="str">
        <f aca="false">IF($B100="","",IFERROR(IF(C100="Continuous",INDEX('2 Phases'!$N$7:$N$12,B100)*EXP((INDEX('2 Phases'!$P$7:$P$12,B100)-N(INDEX('2 Phases'!$H$7:$H$12,B100)))*D100),INDEX('2 Phases'!$N$7:$N$12,B100)*(IF(INDEX('2 Phases'!$E$7:$E$12,B100)="",INDEX('2 Phases'!$N$7:$N$12,B100),INDEX('2 Phases'!$E$7:$E$12,B100))/INDEX('2 Phases'!$N$7:$N$12,B100))^(D100/INDEX('2 Phases'!$D$7:$D$12,B100))),""))</f>
        <v/>
      </c>
      <c r="F100" s="15" t="n">
        <f aca="false">IF(OR($B100="",C100&lt;&gt;"Fed-batch",D100=0),0,IFERROR(N(INDEX('3 Feed regimes'!$B$6:$E$35,D100,MATCH(INDEX('2 Phases'!$F$7:$F$12,B100),'3 Feed regimes'!$B$4:$E$4,0)))*'1 Setup'!$B$5/100,0))</f>
        <v>0</v>
      </c>
      <c r="G100" s="15" t="str">
        <f aca="false">IF($B100="","",G99+F100)</f>
        <v/>
      </c>
      <c r="H100" s="14" t="str">
        <f aca="false">IF($B100="","",(E99+E100)/2)</f>
        <v/>
      </c>
      <c r="I100" s="15" t="str">
        <f aca="false">IF($B100="","",IF(C100="Continuous",N(INDEX('2 Phases'!$G$7:$G$12,B100))*G99,0))</f>
        <v/>
      </c>
      <c r="J100" s="15" t="str">
        <f aca="false">IF($B100="","",IF(C100="Continuous",N(INDEX('2 Phases'!$H$7:$H$12,B100))*G99,0))</f>
        <v/>
      </c>
      <c r="K100" s="15" t="str">
        <f aca="false">IF($B100="","",I100-J100)</f>
        <v/>
      </c>
      <c r="L100" s="14" t="str">
        <f aca="false">IF($B100="","",J100*1000*H100)</f>
        <v/>
      </c>
      <c r="M100" s="15" t="str">
        <f aca="false">IF($B100="","",M99+F100+I100)</f>
        <v/>
      </c>
      <c r="N100" s="15" t="str">
        <f aca="false">IF($B100="","",N99+K100)</f>
        <v/>
      </c>
      <c r="O100" s="15" t="str">
        <f aca="false">IF($B100="","",O99+J100)</f>
        <v/>
      </c>
      <c r="P100" s="14" t="str">
        <f aca="false">IF($B100="","",P99+L100)</f>
        <v/>
      </c>
      <c r="Q100" s="18" t="str">
        <f aca="false">IF(OR($B100="",Q99="",'1 Setup'!$C$10=""),"",IF(AND($C100="Continuous",N(INDEX('2 Phases'!$G$7:$G$12,B100))&gt;0),IF('1 Setup'!$G$10="","",MAX(0,('1 Setup'!$G$10+('1 Setup'!$H$10*'1 Setup'!$C$10*0.00000024*$H100)/N(INDEX('2 Phases'!$G$7:$G$12,B100)))+(((Q99*($G99-$F99)+N('1 Setup'!$F$10)*$F99)/$G99)-('1 Setup'!$G$10+('1 Setup'!$H$10*'1 Setup'!$C$10*0.00000024*$H100)/N(INDEX('2 Phases'!$G$7:$G$12,B100))))*EXP(-N(INDEX('2 Phases'!$G$7:$G$12,B100))))),MAX(0,((Q99*($G99-$F99)+N('1 Setup'!$F$10)*$F99)/$G99)+('1 Setup'!$H$10*'1 Setup'!$C$10*0.00000024*$H100))))</f>
        <v/>
      </c>
      <c r="R100" s="18" t="str">
        <f aca="false">IF(OR($B100="",R99="",'1 Setup'!$C$11=""),"",IF(AND($C100="Continuous",N(INDEX('2 Phases'!$G$7:$G$12,B100))&gt;0),IF('1 Setup'!$G$11="","",MAX(0,('1 Setup'!$G$11+('1 Setup'!$H$11*'1 Setup'!$C$11*0.00000024*$H100)/N(INDEX('2 Phases'!$G$7:$G$12,B100)))+(((R99*($G99-$F99)+N('1 Setup'!$F$11)*$F99)/$G99)-('1 Setup'!$G$11+('1 Setup'!$H$11*'1 Setup'!$C$11*0.00000024*$H100)/N(INDEX('2 Phases'!$G$7:$G$12,B100))))*EXP(-N(INDEX('2 Phases'!$G$7:$G$12,B100))))),MAX(0,((R99*($G99-$F99)+N('1 Setup'!$F$11)*$F99)/$G99)+('1 Setup'!$H$11*'1 Setup'!$C$11*0.00000024*$H100))))</f>
        <v/>
      </c>
      <c r="S100" s="18" t="str">
        <f aca="false">IF(OR($B100="",S99="",'1 Setup'!$C$12=""),"",IF(AND($C100="Continuous",N(INDEX('2 Phases'!$G$7:$G$12,B100))&gt;0),IF('1 Setup'!$G$12="","",MAX(0,('1 Setup'!$G$12+('1 Setup'!$H$12*'1 Setup'!$C$12*0.00000024*$H100)/N(INDEX('2 Phases'!$G$7:$G$12,B100)))+(((S99*($G99-$F99)+N('1 Setup'!$F$12)*$F99)/$G99)-('1 Setup'!$G$12+('1 Setup'!$H$12*'1 Setup'!$C$12*0.00000024*$H100)/N(INDEX('2 Phases'!$G$7:$G$12,B100))))*EXP(-N(INDEX('2 Phases'!$G$7:$G$12,B100))))),MAX(0,((S99*($G99-$F99)+N('1 Setup'!$F$12)*$F99)/$G99)+('1 Setup'!$H$12*'1 Setup'!$C$12*0.00000024*$H100))))</f>
        <v/>
      </c>
      <c r="T100" s="18" t="str">
        <f aca="false">IF(OR($B100="",T99="",'1 Setup'!$C$13=""),"",IF(AND($C100="Continuous",N(INDEX('2 Phases'!$G$7:$G$12,B100))&gt;0),IF('1 Setup'!$G$13="","",MAX(0,('1 Setup'!$G$13+('1 Setup'!$H$13*'1 Setup'!$C$13*0.00000024*$H100)/N(INDEX('2 Phases'!$G$7:$G$12,B100)))+(((T99*($G99-$F99)+N('1 Setup'!$F$13)*$F99)/$G99)-('1 Setup'!$G$13+('1 Setup'!$H$13*'1 Setup'!$C$13*0.00000024*$H100)/N(INDEX('2 Phases'!$G$7:$G$12,B100))))*EXP(-N(INDEX('2 Phases'!$G$7:$G$12,B100))))),MAX(0,((T99*($G99-$F99)+N('1 Setup'!$F$13)*$F99)/$G99)+('1 Setup'!$H$13*'1 Setup'!$C$13*0.00000024*$H100))))</f>
        <v/>
      </c>
      <c r="U100" s="18" t="str">
        <f aca="false">IF(OR($B100="",U99="",'1 Setup'!$C$14=""),"",IF(AND($C100="Continuous",N(INDEX('2 Phases'!$G$7:$G$12,B100))&gt;0),IF('1 Setup'!$G$14="","",MAX(0,('1 Setup'!$G$14+('1 Setup'!$H$14*'1 Setup'!$C$14*0.00000024*$H100)/N(INDEX('2 Phases'!$G$7:$G$12,B100)))+(((U99*($G99-$F99)+N('1 Setup'!$F$14)*$F99)/$G99)-('1 Setup'!$G$14+('1 Setup'!$H$14*'1 Setup'!$C$14*0.00000024*$H100)/N(INDEX('2 Phases'!$G$7:$G$12,B100))))*EXP(-N(INDEX('2 Phases'!$G$7:$G$12,B100))))),MAX(0,((U99*($G99-$F99)+N('1 Setup'!$F$14)*$F99)/$G99)+('1 Setup'!$H$14*'1 Setup'!$C$14*0.00000024*$H100))))</f>
        <v/>
      </c>
      <c r="V100" s="18" t="str">
        <f aca="false">IF($B100="","",E100/1000000*'1 Setup'!$B$7)</f>
        <v/>
      </c>
      <c r="W100" s="18" t="str">
        <f aca="false">IF($B100="","",V100*G100)</f>
        <v/>
      </c>
      <c r="X100" s="18" t="str">
        <f aca="false">IF($B100="","",P100*'1 Setup'!$B$7/1000000000)</f>
        <v/>
      </c>
      <c r="Y100" s="18" t="str">
        <f aca="false">IF($B100="","",L100*'1 Setup'!$B$7/1000000000)</f>
        <v/>
      </c>
    </row>
    <row r="101" customFormat="false" ht="15" hidden="false" customHeight="false" outlineLevel="0" collapsed="false">
      <c r="A101" s="7" t="n">
        <v>95</v>
      </c>
      <c r="B101" s="7" t="str">
        <f aca="false">IF(A101&gt;'2 Phases'!$D$4,"",IF(A101=0,1,COUNTIF('2 Phases'!$M$7:$M$12,"&lt;"&amp;A101)+1))</f>
        <v/>
      </c>
      <c r="C101" s="7" t="str">
        <f aca="false">IF($B101="","",INDEX('2 Phases'!$C$7:$C$12,B101))</f>
        <v/>
      </c>
      <c r="D101" s="7" t="str">
        <f aca="false">IF($B101="","",A101-INDEX('2 Phases'!$L$7:$L$12,B101))</f>
        <v/>
      </c>
      <c r="E101" s="14" t="str">
        <f aca="false">IF($B101="","",IFERROR(IF(C101="Continuous",INDEX('2 Phases'!$N$7:$N$12,B101)*EXP((INDEX('2 Phases'!$P$7:$P$12,B101)-N(INDEX('2 Phases'!$H$7:$H$12,B101)))*D101),INDEX('2 Phases'!$N$7:$N$12,B101)*(IF(INDEX('2 Phases'!$E$7:$E$12,B101)="",INDEX('2 Phases'!$N$7:$N$12,B101),INDEX('2 Phases'!$E$7:$E$12,B101))/INDEX('2 Phases'!$N$7:$N$12,B101))^(D101/INDEX('2 Phases'!$D$7:$D$12,B101))),""))</f>
        <v/>
      </c>
      <c r="F101" s="15" t="n">
        <f aca="false">IF(OR($B101="",C101&lt;&gt;"Fed-batch",D101=0),0,IFERROR(N(INDEX('3 Feed regimes'!$B$6:$E$35,D101,MATCH(INDEX('2 Phases'!$F$7:$F$12,B101),'3 Feed regimes'!$B$4:$E$4,0)))*'1 Setup'!$B$5/100,0))</f>
        <v>0</v>
      </c>
      <c r="G101" s="15" t="str">
        <f aca="false">IF($B101="","",G100+F101)</f>
        <v/>
      </c>
      <c r="H101" s="14" t="str">
        <f aca="false">IF($B101="","",(E100+E101)/2)</f>
        <v/>
      </c>
      <c r="I101" s="15" t="str">
        <f aca="false">IF($B101="","",IF(C101="Continuous",N(INDEX('2 Phases'!$G$7:$G$12,B101))*G100,0))</f>
        <v/>
      </c>
      <c r="J101" s="15" t="str">
        <f aca="false">IF($B101="","",IF(C101="Continuous",N(INDEX('2 Phases'!$H$7:$H$12,B101))*G100,0))</f>
        <v/>
      </c>
      <c r="K101" s="15" t="str">
        <f aca="false">IF($B101="","",I101-J101)</f>
        <v/>
      </c>
      <c r="L101" s="14" t="str">
        <f aca="false">IF($B101="","",J101*1000*H101)</f>
        <v/>
      </c>
      <c r="M101" s="15" t="str">
        <f aca="false">IF($B101="","",M100+F101+I101)</f>
        <v/>
      </c>
      <c r="N101" s="15" t="str">
        <f aca="false">IF($B101="","",N100+K101)</f>
        <v/>
      </c>
      <c r="O101" s="15" t="str">
        <f aca="false">IF($B101="","",O100+J101)</f>
        <v/>
      </c>
      <c r="P101" s="14" t="str">
        <f aca="false">IF($B101="","",P100+L101)</f>
        <v/>
      </c>
      <c r="Q101" s="18" t="str">
        <f aca="false">IF(OR($B101="",Q100="",'1 Setup'!$C$10=""),"",IF(AND($C101="Continuous",N(INDEX('2 Phases'!$G$7:$G$12,B101))&gt;0),IF('1 Setup'!$G$10="","",MAX(0,('1 Setup'!$G$10+('1 Setup'!$H$10*'1 Setup'!$C$10*0.00000024*$H101)/N(INDEX('2 Phases'!$G$7:$G$12,B101)))+(((Q100*($G100-$F100)+N('1 Setup'!$F$10)*$F100)/$G100)-('1 Setup'!$G$10+('1 Setup'!$H$10*'1 Setup'!$C$10*0.00000024*$H101)/N(INDEX('2 Phases'!$G$7:$G$12,B101))))*EXP(-N(INDEX('2 Phases'!$G$7:$G$12,B101))))),MAX(0,((Q100*($G100-$F100)+N('1 Setup'!$F$10)*$F100)/$G100)+('1 Setup'!$H$10*'1 Setup'!$C$10*0.00000024*$H101))))</f>
        <v/>
      </c>
      <c r="R101" s="18" t="str">
        <f aca="false">IF(OR($B101="",R100="",'1 Setup'!$C$11=""),"",IF(AND($C101="Continuous",N(INDEX('2 Phases'!$G$7:$G$12,B101))&gt;0),IF('1 Setup'!$G$11="","",MAX(0,('1 Setup'!$G$11+('1 Setup'!$H$11*'1 Setup'!$C$11*0.00000024*$H101)/N(INDEX('2 Phases'!$G$7:$G$12,B101)))+(((R100*($G100-$F100)+N('1 Setup'!$F$11)*$F100)/$G100)-('1 Setup'!$G$11+('1 Setup'!$H$11*'1 Setup'!$C$11*0.00000024*$H101)/N(INDEX('2 Phases'!$G$7:$G$12,B101))))*EXP(-N(INDEX('2 Phases'!$G$7:$G$12,B101))))),MAX(0,((R100*($G100-$F100)+N('1 Setup'!$F$11)*$F100)/$G100)+('1 Setup'!$H$11*'1 Setup'!$C$11*0.00000024*$H101))))</f>
        <v/>
      </c>
      <c r="S101" s="18" t="str">
        <f aca="false">IF(OR($B101="",S100="",'1 Setup'!$C$12=""),"",IF(AND($C101="Continuous",N(INDEX('2 Phases'!$G$7:$G$12,B101))&gt;0),IF('1 Setup'!$G$12="","",MAX(0,('1 Setup'!$G$12+('1 Setup'!$H$12*'1 Setup'!$C$12*0.00000024*$H101)/N(INDEX('2 Phases'!$G$7:$G$12,B101)))+(((S100*($G100-$F100)+N('1 Setup'!$F$12)*$F100)/$G100)-('1 Setup'!$G$12+('1 Setup'!$H$12*'1 Setup'!$C$12*0.00000024*$H101)/N(INDEX('2 Phases'!$G$7:$G$12,B101))))*EXP(-N(INDEX('2 Phases'!$G$7:$G$12,B101))))),MAX(0,((S100*($G100-$F100)+N('1 Setup'!$F$12)*$F100)/$G100)+('1 Setup'!$H$12*'1 Setup'!$C$12*0.00000024*$H101))))</f>
        <v/>
      </c>
      <c r="T101" s="18" t="str">
        <f aca="false">IF(OR($B101="",T100="",'1 Setup'!$C$13=""),"",IF(AND($C101="Continuous",N(INDEX('2 Phases'!$G$7:$G$12,B101))&gt;0),IF('1 Setup'!$G$13="","",MAX(0,('1 Setup'!$G$13+('1 Setup'!$H$13*'1 Setup'!$C$13*0.00000024*$H101)/N(INDEX('2 Phases'!$G$7:$G$12,B101)))+(((T100*($G100-$F100)+N('1 Setup'!$F$13)*$F100)/$G100)-('1 Setup'!$G$13+('1 Setup'!$H$13*'1 Setup'!$C$13*0.00000024*$H101)/N(INDEX('2 Phases'!$G$7:$G$12,B101))))*EXP(-N(INDEX('2 Phases'!$G$7:$G$12,B101))))),MAX(0,((T100*($G100-$F100)+N('1 Setup'!$F$13)*$F100)/$G100)+('1 Setup'!$H$13*'1 Setup'!$C$13*0.00000024*$H101))))</f>
        <v/>
      </c>
      <c r="U101" s="18" t="str">
        <f aca="false">IF(OR($B101="",U100="",'1 Setup'!$C$14=""),"",IF(AND($C101="Continuous",N(INDEX('2 Phases'!$G$7:$G$12,B101))&gt;0),IF('1 Setup'!$G$14="","",MAX(0,('1 Setup'!$G$14+('1 Setup'!$H$14*'1 Setup'!$C$14*0.00000024*$H101)/N(INDEX('2 Phases'!$G$7:$G$12,B101)))+(((U100*($G100-$F100)+N('1 Setup'!$F$14)*$F100)/$G100)-('1 Setup'!$G$14+('1 Setup'!$H$14*'1 Setup'!$C$14*0.00000024*$H101)/N(INDEX('2 Phases'!$G$7:$G$12,B101))))*EXP(-N(INDEX('2 Phases'!$G$7:$G$12,B101))))),MAX(0,((U100*($G100-$F100)+N('1 Setup'!$F$14)*$F100)/$G100)+('1 Setup'!$H$14*'1 Setup'!$C$14*0.00000024*$H101))))</f>
        <v/>
      </c>
      <c r="V101" s="18" t="str">
        <f aca="false">IF($B101="","",E101/1000000*'1 Setup'!$B$7)</f>
        <v/>
      </c>
      <c r="W101" s="18" t="str">
        <f aca="false">IF($B101="","",V101*G101)</f>
        <v/>
      </c>
      <c r="X101" s="18" t="str">
        <f aca="false">IF($B101="","",P101*'1 Setup'!$B$7/1000000000)</f>
        <v/>
      </c>
      <c r="Y101" s="18" t="str">
        <f aca="false">IF($B101="","",L101*'1 Setup'!$B$7/1000000000)</f>
        <v/>
      </c>
    </row>
    <row r="102" customFormat="false" ht="15" hidden="false" customHeight="false" outlineLevel="0" collapsed="false">
      <c r="A102" s="7" t="n">
        <v>96</v>
      </c>
      <c r="B102" s="7" t="str">
        <f aca="false">IF(A102&gt;'2 Phases'!$D$4,"",IF(A102=0,1,COUNTIF('2 Phases'!$M$7:$M$12,"&lt;"&amp;A102)+1))</f>
        <v/>
      </c>
      <c r="C102" s="7" t="str">
        <f aca="false">IF($B102="","",INDEX('2 Phases'!$C$7:$C$12,B102))</f>
        <v/>
      </c>
      <c r="D102" s="7" t="str">
        <f aca="false">IF($B102="","",A102-INDEX('2 Phases'!$L$7:$L$12,B102))</f>
        <v/>
      </c>
      <c r="E102" s="14" t="str">
        <f aca="false">IF($B102="","",IFERROR(IF(C102="Continuous",INDEX('2 Phases'!$N$7:$N$12,B102)*EXP((INDEX('2 Phases'!$P$7:$P$12,B102)-N(INDEX('2 Phases'!$H$7:$H$12,B102)))*D102),INDEX('2 Phases'!$N$7:$N$12,B102)*(IF(INDEX('2 Phases'!$E$7:$E$12,B102)="",INDEX('2 Phases'!$N$7:$N$12,B102),INDEX('2 Phases'!$E$7:$E$12,B102))/INDEX('2 Phases'!$N$7:$N$12,B102))^(D102/INDEX('2 Phases'!$D$7:$D$12,B102))),""))</f>
        <v/>
      </c>
      <c r="F102" s="15" t="n">
        <f aca="false">IF(OR($B102="",C102&lt;&gt;"Fed-batch",D102=0),0,IFERROR(N(INDEX('3 Feed regimes'!$B$6:$E$35,D102,MATCH(INDEX('2 Phases'!$F$7:$F$12,B102),'3 Feed regimes'!$B$4:$E$4,0)))*'1 Setup'!$B$5/100,0))</f>
        <v>0</v>
      </c>
      <c r="G102" s="15" t="str">
        <f aca="false">IF($B102="","",G101+F102)</f>
        <v/>
      </c>
      <c r="H102" s="14" t="str">
        <f aca="false">IF($B102="","",(E101+E102)/2)</f>
        <v/>
      </c>
      <c r="I102" s="15" t="str">
        <f aca="false">IF($B102="","",IF(C102="Continuous",N(INDEX('2 Phases'!$G$7:$G$12,B102))*G101,0))</f>
        <v/>
      </c>
      <c r="J102" s="15" t="str">
        <f aca="false">IF($B102="","",IF(C102="Continuous",N(INDEX('2 Phases'!$H$7:$H$12,B102))*G101,0))</f>
        <v/>
      </c>
      <c r="K102" s="15" t="str">
        <f aca="false">IF($B102="","",I102-J102)</f>
        <v/>
      </c>
      <c r="L102" s="14" t="str">
        <f aca="false">IF($B102="","",J102*1000*H102)</f>
        <v/>
      </c>
      <c r="M102" s="15" t="str">
        <f aca="false">IF($B102="","",M101+F102+I102)</f>
        <v/>
      </c>
      <c r="N102" s="15" t="str">
        <f aca="false">IF($B102="","",N101+K102)</f>
        <v/>
      </c>
      <c r="O102" s="15" t="str">
        <f aca="false">IF($B102="","",O101+J102)</f>
        <v/>
      </c>
      <c r="P102" s="14" t="str">
        <f aca="false">IF($B102="","",P101+L102)</f>
        <v/>
      </c>
      <c r="Q102" s="18" t="str">
        <f aca="false">IF(OR($B102="",Q101="",'1 Setup'!$C$10=""),"",IF(AND($C102="Continuous",N(INDEX('2 Phases'!$G$7:$G$12,B102))&gt;0),IF('1 Setup'!$G$10="","",MAX(0,('1 Setup'!$G$10+('1 Setup'!$H$10*'1 Setup'!$C$10*0.00000024*$H102)/N(INDEX('2 Phases'!$G$7:$G$12,B102)))+(((Q101*($G101-$F101)+N('1 Setup'!$F$10)*$F101)/$G101)-('1 Setup'!$G$10+('1 Setup'!$H$10*'1 Setup'!$C$10*0.00000024*$H102)/N(INDEX('2 Phases'!$G$7:$G$12,B102))))*EXP(-N(INDEX('2 Phases'!$G$7:$G$12,B102))))),MAX(0,((Q101*($G101-$F101)+N('1 Setup'!$F$10)*$F101)/$G101)+('1 Setup'!$H$10*'1 Setup'!$C$10*0.00000024*$H102))))</f>
        <v/>
      </c>
      <c r="R102" s="18" t="str">
        <f aca="false">IF(OR($B102="",R101="",'1 Setup'!$C$11=""),"",IF(AND($C102="Continuous",N(INDEX('2 Phases'!$G$7:$G$12,B102))&gt;0),IF('1 Setup'!$G$11="","",MAX(0,('1 Setup'!$G$11+('1 Setup'!$H$11*'1 Setup'!$C$11*0.00000024*$H102)/N(INDEX('2 Phases'!$G$7:$G$12,B102)))+(((R101*($G101-$F101)+N('1 Setup'!$F$11)*$F101)/$G101)-('1 Setup'!$G$11+('1 Setup'!$H$11*'1 Setup'!$C$11*0.00000024*$H102)/N(INDEX('2 Phases'!$G$7:$G$12,B102))))*EXP(-N(INDEX('2 Phases'!$G$7:$G$12,B102))))),MAX(0,((R101*($G101-$F101)+N('1 Setup'!$F$11)*$F101)/$G101)+('1 Setup'!$H$11*'1 Setup'!$C$11*0.00000024*$H102))))</f>
        <v/>
      </c>
      <c r="S102" s="18" t="str">
        <f aca="false">IF(OR($B102="",S101="",'1 Setup'!$C$12=""),"",IF(AND($C102="Continuous",N(INDEX('2 Phases'!$G$7:$G$12,B102))&gt;0),IF('1 Setup'!$G$12="","",MAX(0,('1 Setup'!$G$12+('1 Setup'!$H$12*'1 Setup'!$C$12*0.00000024*$H102)/N(INDEX('2 Phases'!$G$7:$G$12,B102)))+(((S101*($G101-$F101)+N('1 Setup'!$F$12)*$F101)/$G101)-('1 Setup'!$G$12+('1 Setup'!$H$12*'1 Setup'!$C$12*0.00000024*$H102)/N(INDEX('2 Phases'!$G$7:$G$12,B102))))*EXP(-N(INDEX('2 Phases'!$G$7:$G$12,B102))))),MAX(0,((S101*($G101-$F101)+N('1 Setup'!$F$12)*$F101)/$G101)+('1 Setup'!$H$12*'1 Setup'!$C$12*0.00000024*$H102))))</f>
        <v/>
      </c>
      <c r="T102" s="18" t="str">
        <f aca="false">IF(OR($B102="",T101="",'1 Setup'!$C$13=""),"",IF(AND($C102="Continuous",N(INDEX('2 Phases'!$G$7:$G$12,B102))&gt;0),IF('1 Setup'!$G$13="","",MAX(0,('1 Setup'!$G$13+('1 Setup'!$H$13*'1 Setup'!$C$13*0.00000024*$H102)/N(INDEX('2 Phases'!$G$7:$G$12,B102)))+(((T101*($G101-$F101)+N('1 Setup'!$F$13)*$F101)/$G101)-('1 Setup'!$G$13+('1 Setup'!$H$13*'1 Setup'!$C$13*0.00000024*$H102)/N(INDEX('2 Phases'!$G$7:$G$12,B102))))*EXP(-N(INDEX('2 Phases'!$G$7:$G$12,B102))))),MAX(0,((T101*($G101-$F101)+N('1 Setup'!$F$13)*$F101)/$G101)+('1 Setup'!$H$13*'1 Setup'!$C$13*0.00000024*$H102))))</f>
        <v/>
      </c>
      <c r="U102" s="18" t="str">
        <f aca="false">IF(OR($B102="",U101="",'1 Setup'!$C$14=""),"",IF(AND($C102="Continuous",N(INDEX('2 Phases'!$G$7:$G$12,B102))&gt;0),IF('1 Setup'!$G$14="","",MAX(0,('1 Setup'!$G$14+('1 Setup'!$H$14*'1 Setup'!$C$14*0.00000024*$H102)/N(INDEX('2 Phases'!$G$7:$G$12,B102)))+(((U101*($G101-$F101)+N('1 Setup'!$F$14)*$F101)/$G101)-('1 Setup'!$G$14+('1 Setup'!$H$14*'1 Setup'!$C$14*0.00000024*$H102)/N(INDEX('2 Phases'!$G$7:$G$12,B102))))*EXP(-N(INDEX('2 Phases'!$G$7:$G$12,B102))))),MAX(0,((U101*($G101-$F101)+N('1 Setup'!$F$14)*$F101)/$G101)+('1 Setup'!$H$14*'1 Setup'!$C$14*0.00000024*$H102))))</f>
        <v/>
      </c>
      <c r="V102" s="18" t="str">
        <f aca="false">IF($B102="","",E102/1000000*'1 Setup'!$B$7)</f>
        <v/>
      </c>
      <c r="W102" s="18" t="str">
        <f aca="false">IF($B102="","",V102*G102)</f>
        <v/>
      </c>
      <c r="X102" s="18" t="str">
        <f aca="false">IF($B102="","",P102*'1 Setup'!$B$7/1000000000)</f>
        <v/>
      </c>
      <c r="Y102" s="18" t="str">
        <f aca="false">IF($B102="","",L102*'1 Setup'!$B$7/1000000000)</f>
        <v/>
      </c>
    </row>
    <row r="103" customFormat="false" ht="15" hidden="false" customHeight="false" outlineLevel="0" collapsed="false">
      <c r="A103" s="7" t="n">
        <v>97</v>
      </c>
      <c r="B103" s="7" t="str">
        <f aca="false">IF(A103&gt;'2 Phases'!$D$4,"",IF(A103=0,1,COUNTIF('2 Phases'!$M$7:$M$12,"&lt;"&amp;A103)+1))</f>
        <v/>
      </c>
      <c r="C103" s="7" t="str">
        <f aca="false">IF($B103="","",INDEX('2 Phases'!$C$7:$C$12,B103))</f>
        <v/>
      </c>
      <c r="D103" s="7" t="str">
        <f aca="false">IF($B103="","",A103-INDEX('2 Phases'!$L$7:$L$12,B103))</f>
        <v/>
      </c>
      <c r="E103" s="14" t="str">
        <f aca="false">IF($B103="","",IFERROR(IF(C103="Continuous",INDEX('2 Phases'!$N$7:$N$12,B103)*EXP((INDEX('2 Phases'!$P$7:$P$12,B103)-N(INDEX('2 Phases'!$H$7:$H$12,B103)))*D103),INDEX('2 Phases'!$N$7:$N$12,B103)*(IF(INDEX('2 Phases'!$E$7:$E$12,B103)="",INDEX('2 Phases'!$N$7:$N$12,B103),INDEX('2 Phases'!$E$7:$E$12,B103))/INDEX('2 Phases'!$N$7:$N$12,B103))^(D103/INDEX('2 Phases'!$D$7:$D$12,B103))),""))</f>
        <v/>
      </c>
      <c r="F103" s="15" t="n">
        <f aca="false">IF(OR($B103="",C103&lt;&gt;"Fed-batch",D103=0),0,IFERROR(N(INDEX('3 Feed regimes'!$B$6:$E$35,D103,MATCH(INDEX('2 Phases'!$F$7:$F$12,B103),'3 Feed regimes'!$B$4:$E$4,0)))*'1 Setup'!$B$5/100,0))</f>
        <v>0</v>
      </c>
      <c r="G103" s="15" t="str">
        <f aca="false">IF($B103="","",G102+F103)</f>
        <v/>
      </c>
      <c r="H103" s="14" t="str">
        <f aca="false">IF($B103="","",(E102+E103)/2)</f>
        <v/>
      </c>
      <c r="I103" s="15" t="str">
        <f aca="false">IF($B103="","",IF(C103="Continuous",N(INDEX('2 Phases'!$G$7:$G$12,B103))*G102,0))</f>
        <v/>
      </c>
      <c r="J103" s="15" t="str">
        <f aca="false">IF($B103="","",IF(C103="Continuous",N(INDEX('2 Phases'!$H$7:$H$12,B103))*G102,0))</f>
        <v/>
      </c>
      <c r="K103" s="15" t="str">
        <f aca="false">IF($B103="","",I103-J103)</f>
        <v/>
      </c>
      <c r="L103" s="14" t="str">
        <f aca="false">IF($B103="","",J103*1000*H103)</f>
        <v/>
      </c>
      <c r="M103" s="15" t="str">
        <f aca="false">IF($B103="","",M102+F103+I103)</f>
        <v/>
      </c>
      <c r="N103" s="15" t="str">
        <f aca="false">IF($B103="","",N102+K103)</f>
        <v/>
      </c>
      <c r="O103" s="15" t="str">
        <f aca="false">IF($B103="","",O102+J103)</f>
        <v/>
      </c>
      <c r="P103" s="14" t="str">
        <f aca="false">IF($B103="","",P102+L103)</f>
        <v/>
      </c>
      <c r="Q103" s="18" t="str">
        <f aca="false">IF(OR($B103="",Q102="",'1 Setup'!$C$10=""),"",IF(AND($C103="Continuous",N(INDEX('2 Phases'!$G$7:$G$12,B103))&gt;0),IF('1 Setup'!$G$10="","",MAX(0,('1 Setup'!$G$10+('1 Setup'!$H$10*'1 Setup'!$C$10*0.00000024*$H103)/N(INDEX('2 Phases'!$G$7:$G$12,B103)))+(((Q102*($G102-$F102)+N('1 Setup'!$F$10)*$F102)/$G102)-('1 Setup'!$G$10+('1 Setup'!$H$10*'1 Setup'!$C$10*0.00000024*$H103)/N(INDEX('2 Phases'!$G$7:$G$12,B103))))*EXP(-N(INDEX('2 Phases'!$G$7:$G$12,B103))))),MAX(0,((Q102*($G102-$F102)+N('1 Setup'!$F$10)*$F102)/$G102)+('1 Setup'!$H$10*'1 Setup'!$C$10*0.00000024*$H103))))</f>
        <v/>
      </c>
      <c r="R103" s="18" t="str">
        <f aca="false">IF(OR($B103="",R102="",'1 Setup'!$C$11=""),"",IF(AND($C103="Continuous",N(INDEX('2 Phases'!$G$7:$G$12,B103))&gt;0),IF('1 Setup'!$G$11="","",MAX(0,('1 Setup'!$G$11+('1 Setup'!$H$11*'1 Setup'!$C$11*0.00000024*$H103)/N(INDEX('2 Phases'!$G$7:$G$12,B103)))+(((R102*($G102-$F102)+N('1 Setup'!$F$11)*$F102)/$G102)-('1 Setup'!$G$11+('1 Setup'!$H$11*'1 Setup'!$C$11*0.00000024*$H103)/N(INDEX('2 Phases'!$G$7:$G$12,B103))))*EXP(-N(INDEX('2 Phases'!$G$7:$G$12,B103))))),MAX(0,((R102*($G102-$F102)+N('1 Setup'!$F$11)*$F102)/$G102)+('1 Setup'!$H$11*'1 Setup'!$C$11*0.00000024*$H103))))</f>
        <v/>
      </c>
      <c r="S103" s="18" t="str">
        <f aca="false">IF(OR($B103="",S102="",'1 Setup'!$C$12=""),"",IF(AND($C103="Continuous",N(INDEX('2 Phases'!$G$7:$G$12,B103))&gt;0),IF('1 Setup'!$G$12="","",MAX(0,('1 Setup'!$G$12+('1 Setup'!$H$12*'1 Setup'!$C$12*0.00000024*$H103)/N(INDEX('2 Phases'!$G$7:$G$12,B103)))+(((S102*($G102-$F102)+N('1 Setup'!$F$12)*$F102)/$G102)-('1 Setup'!$G$12+('1 Setup'!$H$12*'1 Setup'!$C$12*0.00000024*$H103)/N(INDEX('2 Phases'!$G$7:$G$12,B103))))*EXP(-N(INDEX('2 Phases'!$G$7:$G$12,B103))))),MAX(0,((S102*($G102-$F102)+N('1 Setup'!$F$12)*$F102)/$G102)+('1 Setup'!$H$12*'1 Setup'!$C$12*0.00000024*$H103))))</f>
        <v/>
      </c>
      <c r="T103" s="18" t="str">
        <f aca="false">IF(OR($B103="",T102="",'1 Setup'!$C$13=""),"",IF(AND($C103="Continuous",N(INDEX('2 Phases'!$G$7:$G$12,B103))&gt;0),IF('1 Setup'!$G$13="","",MAX(0,('1 Setup'!$G$13+('1 Setup'!$H$13*'1 Setup'!$C$13*0.00000024*$H103)/N(INDEX('2 Phases'!$G$7:$G$12,B103)))+(((T102*($G102-$F102)+N('1 Setup'!$F$13)*$F102)/$G102)-('1 Setup'!$G$13+('1 Setup'!$H$13*'1 Setup'!$C$13*0.00000024*$H103)/N(INDEX('2 Phases'!$G$7:$G$12,B103))))*EXP(-N(INDEX('2 Phases'!$G$7:$G$12,B103))))),MAX(0,((T102*($G102-$F102)+N('1 Setup'!$F$13)*$F102)/$G102)+('1 Setup'!$H$13*'1 Setup'!$C$13*0.00000024*$H103))))</f>
        <v/>
      </c>
      <c r="U103" s="18" t="str">
        <f aca="false">IF(OR($B103="",U102="",'1 Setup'!$C$14=""),"",IF(AND($C103="Continuous",N(INDEX('2 Phases'!$G$7:$G$12,B103))&gt;0),IF('1 Setup'!$G$14="","",MAX(0,('1 Setup'!$G$14+('1 Setup'!$H$14*'1 Setup'!$C$14*0.00000024*$H103)/N(INDEX('2 Phases'!$G$7:$G$12,B103)))+(((U102*($G102-$F102)+N('1 Setup'!$F$14)*$F102)/$G102)-('1 Setup'!$G$14+('1 Setup'!$H$14*'1 Setup'!$C$14*0.00000024*$H103)/N(INDEX('2 Phases'!$G$7:$G$12,B103))))*EXP(-N(INDEX('2 Phases'!$G$7:$G$12,B103))))),MAX(0,((U102*($G102-$F102)+N('1 Setup'!$F$14)*$F102)/$G102)+('1 Setup'!$H$14*'1 Setup'!$C$14*0.00000024*$H103))))</f>
        <v/>
      </c>
      <c r="V103" s="18" t="str">
        <f aca="false">IF($B103="","",E103/1000000*'1 Setup'!$B$7)</f>
        <v/>
      </c>
      <c r="W103" s="18" t="str">
        <f aca="false">IF($B103="","",V103*G103)</f>
        <v/>
      </c>
      <c r="X103" s="18" t="str">
        <f aca="false">IF($B103="","",P103*'1 Setup'!$B$7/1000000000)</f>
        <v/>
      </c>
      <c r="Y103" s="18" t="str">
        <f aca="false">IF($B103="","",L103*'1 Setup'!$B$7/1000000000)</f>
        <v/>
      </c>
    </row>
    <row r="104" customFormat="false" ht="15" hidden="false" customHeight="false" outlineLevel="0" collapsed="false">
      <c r="A104" s="7" t="n">
        <v>98</v>
      </c>
      <c r="B104" s="7" t="str">
        <f aca="false">IF(A104&gt;'2 Phases'!$D$4,"",IF(A104=0,1,COUNTIF('2 Phases'!$M$7:$M$12,"&lt;"&amp;A104)+1))</f>
        <v/>
      </c>
      <c r="C104" s="7" t="str">
        <f aca="false">IF($B104="","",INDEX('2 Phases'!$C$7:$C$12,B104))</f>
        <v/>
      </c>
      <c r="D104" s="7" t="str">
        <f aca="false">IF($B104="","",A104-INDEX('2 Phases'!$L$7:$L$12,B104))</f>
        <v/>
      </c>
      <c r="E104" s="14" t="str">
        <f aca="false">IF($B104="","",IFERROR(IF(C104="Continuous",INDEX('2 Phases'!$N$7:$N$12,B104)*EXP((INDEX('2 Phases'!$P$7:$P$12,B104)-N(INDEX('2 Phases'!$H$7:$H$12,B104)))*D104),INDEX('2 Phases'!$N$7:$N$12,B104)*(IF(INDEX('2 Phases'!$E$7:$E$12,B104)="",INDEX('2 Phases'!$N$7:$N$12,B104),INDEX('2 Phases'!$E$7:$E$12,B104))/INDEX('2 Phases'!$N$7:$N$12,B104))^(D104/INDEX('2 Phases'!$D$7:$D$12,B104))),""))</f>
        <v/>
      </c>
      <c r="F104" s="15" t="n">
        <f aca="false">IF(OR($B104="",C104&lt;&gt;"Fed-batch",D104=0),0,IFERROR(N(INDEX('3 Feed regimes'!$B$6:$E$35,D104,MATCH(INDEX('2 Phases'!$F$7:$F$12,B104),'3 Feed regimes'!$B$4:$E$4,0)))*'1 Setup'!$B$5/100,0))</f>
        <v>0</v>
      </c>
      <c r="G104" s="15" t="str">
        <f aca="false">IF($B104="","",G103+F104)</f>
        <v/>
      </c>
      <c r="H104" s="14" t="str">
        <f aca="false">IF($B104="","",(E103+E104)/2)</f>
        <v/>
      </c>
      <c r="I104" s="15" t="str">
        <f aca="false">IF($B104="","",IF(C104="Continuous",N(INDEX('2 Phases'!$G$7:$G$12,B104))*G103,0))</f>
        <v/>
      </c>
      <c r="J104" s="15" t="str">
        <f aca="false">IF($B104="","",IF(C104="Continuous",N(INDEX('2 Phases'!$H$7:$H$12,B104))*G103,0))</f>
        <v/>
      </c>
      <c r="K104" s="15" t="str">
        <f aca="false">IF($B104="","",I104-J104)</f>
        <v/>
      </c>
      <c r="L104" s="14" t="str">
        <f aca="false">IF($B104="","",J104*1000*H104)</f>
        <v/>
      </c>
      <c r="M104" s="15" t="str">
        <f aca="false">IF($B104="","",M103+F104+I104)</f>
        <v/>
      </c>
      <c r="N104" s="15" t="str">
        <f aca="false">IF($B104="","",N103+K104)</f>
        <v/>
      </c>
      <c r="O104" s="15" t="str">
        <f aca="false">IF($B104="","",O103+J104)</f>
        <v/>
      </c>
      <c r="P104" s="14" t="str">
        <f aca="false">IF($B104="","",P103+L104)</f>
        <v/>
      </c>
      <c r="Q104" s="18" t="str">
        <f aca="false">IF(OR($B104="",Q103="",'1 Setup'!$C$10=""),"",IF(AND($C104="Continuous",N(INDEX('2 Phases'!$G$7:$G$12,B104))&gt;0),IF('1 Setup'!$G$10="","",MAX(0,('1 Setup'!$G$10+('1 Setup'!$H$10*'1 Setup'!$C$10*0.00000024*$H104)/N(INDEX('2 Phases'!$G$7:$G$12,B104)))+(((Q103*($G103-$F103)+N('1 Setup'!$F$10)*$F103)/$G103)-('1 Setup'!$G$10+('1 Setup'!$H$10*'1 Setup'!$C$10*0.00000024*$H104)/N(INDEX('2 Phases'!$G$7:$G$12,B104))))*EXP(-N(INDEX('2 Phases'!$G$7:$G$12,B104))))),MAX(0,((Q103*($G103-$F103)+N('1 Setup'!$F$10)*$F103)/$G103)+('1 Setup'!$H$10*'1 Setup'!$C$10*0.00000024*$H104))))</f>
        <v/>
      </c>
      <c r="R104" s="18" t="str">
        <f aca="false">IF(OR($B104="",R103="",'1 Setup'!$C$11=""),"",IF(AND($C104="Continuous",N(INDEX('2 Phases'!$G$7:$G$12,B104))&gt;0),IF('1 Setup'!$G$11="","",MAX(0,('1 Setup'!$G$11+('1 Setup'!$H$11*'1 Setup'!$C$11*0.00000024*$H104)/N(INDEX('2 Phases'!$G$7:$G$12,B104)))+(((R103*($G103-$F103)+N('1 Setup'!$F$11)*$F103)/$G103)-('1 Setup'!$G$11+('1 Setup'!$H$11*'1 Setup'!$C$11*0.00000024*$H104)/N(INDEX('2 Phases'!$G$7:$G$12,B104))))*EXP(-N(INDEX('2 Phases'!$G$7:$G$12,B104))))),MAX(0,((R103*($G103-$F103)+N('1 Setup'!$F$11)*$F103)/$G103)+('1 Setup'!$H$11*'1 Setup'!$C$11*0.00000024*$H104))))</f>
        <v/>
      </c>
      <c r="S104" s="18" t="str">
        <f aca="false">IF(OR($B104="",S103="",'1 Setup'!$C$12=""),"",IF(AND($C104="Continuous",N(INDEX('2 Phases'!$G$7:$G$12,B104))&gt;0),IF('1 Setup'!$G$12="","",MAX(0,('1 Setup'!$G$12+('1 Setup'!$H$12*'1 Setup'!$C$12*0.00000024*$H104)/N(INDEX('2 Phases'!$G$7:$G$12,B104)))+(((S103*($G103-$F103)+N('1 Setup'!$F$12)*$F103)/$G103)-('1 Setup'!$G$12+('1 Setup'!$H$12*'1 Setup'!$C$12*0.00000024*$H104)/N(INDEX('2 Phases'!$G$7:$G$12,B104))))*EXP(-N(INDEX('2 Phases'!$G$7:$G$12,B104))))),MAX(0,((S103*($G103-$F103)+N('1 Setup'!$F$12)*$F103)/$G103)+('1 Setup'!$H$12*'1 Setup'!$C$12*0.00000024*$H104))))</f>
        <v/>
      </c>
      <c r="T104" s="18" t="str">
        <f aca="false">IF(OR($B104="",T103="",'1 Setup'!$C$13=""),"",IF(AND($C104="Continuous",N(INDEX('2 Phases'!$G$7:$G$12,B104))&gt;0),IF('1 Setup'!$G$13="","",MAX(0,('1 Setup'!$G$13+('1 Setup'!$H$13*'1 Setup'!$C$13*0.00000024*$H104)/N(INDEX('2 Phases'!$G$7:$G$12,B104)))+(((T103*($G103-$F103)+N('1 Setup'!$F$13)*$F103)/$G103)-('1 Setup'!$G$13+('1 Setup'!$H$13*'1 Setup'!$C$13*0.00000024*$H104)/N(INDEX('2 Phases'!$G$7:$G$12,B104))))*EXP(-N(INDEX('2 Phases'!$G$7:$G$12,B104))))),MAX(0,((T103*($G103-$F103)+N('1 Setup'!$F$13)*$F103)/$G103)+('1 Setup'!$H$13*'1 Setup'!$C$13*0.00000024*$H104))))</f>
        <v/>
      </c>
      <c r="U104" s="18" t="str">
        <f aca="false">IF(OR($B104="",U103="",'1 Setup'!$C$14=""),"",IF(AND($C104="Continuous",N(INDEX('2 Phases'!$G$7:$G$12,B104))&gt;0),IF('1 Setup'!$G$14="","",MAX(0,('1 Setup'!$G$14+('1 Setup'!$H$14*'1 Setup'!$C$14*0.00000024*$H104)/N(INDEX('2 Phases'!$G$7:$G$12,B104)))+(((U103*($G103-$F103)+N('1 Setup'!$F$14)*$F103)/$G103)-('1 Setup'!$G$14+('1 Setup'!$H$14*'1 Setup'!$C$14*0.00000024*$H104)/N(INDEX('2 Phases'!$G$7:$G$12,B104))))*EXP(-N(INDEX('2 Phases'!$G$7:$G$12,B104))))),MAX(0,((U103*($G103-$F103)+N('1 Setup'!$F$14)*$F103)/$G103)+('1 Setup'!$H$14*'1 Setup'!$C$14*0.00000024*$H104))))</f>
        <v/>
      </c>
      <c r="V104" s="18" t="str">
        <f aca="false">IF($B104="","",E104/1000000*'1 Setup'!$B$7)</f>
        <v/>
      </c>
      <c r="W104" s="18" t="str">
        <f aca="false">IF($B104="","",V104*G104)</f>
        <v/>
      </c>
      <c r="X104" s="18" t="str">
        <f aca="false">IF($B104="","",P104*'1 Setup'!$B$7/1000000000)</f>
        <v/>
      </c>
      <c r="Y104" s="18" t="str">
        <f aca="false">IF($B104="","",L104*'1 Setup'!$B$7/1000000000)</f>
        <v/>
      </c>
    </row>
    <row r="105" customFormat="false" ht="15" hidden="false" customHeight="false" outlineLevel="0" collapsed="false">
      <c r="A105" s="7" t="n">
        <v>99</v>
      </c>
      <c r="B105" s="7" t="str">
        <f aca="false">IF(A105&gt;'2 Phases'!$D$4,"",IF(A105=0,1,COUNTIF('2 Phases'!$M$7:$M$12,"&lt;"&amp;A105)+1))</f>
        <v/>
      </c>
      <c r="C105" s="7" t="str">
        <f aca="false">IF($B105="","",INDEX('2 Phases'!$C$7:$C$12,B105))</f>
        <v/>
      </c>
      <c r="D105" s="7" t="str">
        <f aca="false">IF($B105="","",A105-INDEX('2 Phases'!$L$7:$L$12,B105))</f>
        <v/>
      </c>
      <c r="E105" s="14" t="str">
        <f aca="false">IF($B105="","",IFERROR(IF(C105="Continuous",INDEX('2 Phases'!$N$7:$N$12,B105)*EXP((INDEX('2 Phases'!$P$7:$P$12,B105)-N(INDEX('2 Phases'!$H$7:$H$12,B105)))*D105),INDEX('2 Phases'!$N$7:$N$12,B105)*(IF(INDEX('2 Phases'!$E$7:$E$12,B105)="",INDEX('2 Phases'!$N$7:$N$12,B105),INDEX('2 Phases'!$E$7:$E$12,B105))/INDEX('2 Phases'!$N$7:$N$12,B105))^(D105/INDEX('2 Phases'!$D$7:$D$12,B105))),""))</f>
        <v/>
      </c>
      <c r="F105" s="15" t="n">
        <f aca="false">IF(OR($B105="",C105&lt;&gt;"Fed-batch",D105=0),0,IFERROR(N(INDEX('3 Feed regimes'!$B$6:$E$35,D105,MATCH(INDEX('2 Phases'!$F$7:$F$12,B105),'3 Feed regimes'!$B$4:$E$4,0)))*'1 Setup'!$B$5/100,0))</f>
        <v>0</v>
      </c>
      <c r="G105" s="15" t="str">
        <f aca="false">IF($B105="","",G104+F105)</f>
        <v/>
      </c>
      <c r="H105" s="14" t="str">
        <f aca="false">IF($B105="","",(E104+E105)/2)</f>
        <v/>
      </c>
      <c r="I105" s="15" t="str">
        <f aca="false">IF($B105="","",IF(C105="Continuous",N(INDEX('2 Phases'!$G$7:$G$12,B105))*G104,0))</f>
        <v/>
      </c>
      <c r="J105" s="15" t="str">
        <f aca="false">IF($B105="","",IF(C105="Continuous",N(INDEX('2 Phases'!$H$7:$H$12,B105))*G104,0))</f>
        <v/>
      </c>
      <c r="K105" s="15" t="str">
        <f aca="false">IF($B105="","",I105-J105)</f>
        <v/>
      </c>
      <c r="L105" s="14" t="str">
        <f aca="false">IF($B105="","",J105*1000*H105)</f>
        <v/>
      </c>
      <c r="M105" s="15" t="str">
        <f aca="false">IF($B105="","",M104+F105+I105)</f>
        <v/>
      </c>
      <c r="N105" s="15" t="str">
        <f aca="false">IF($B105="","",N104+K105)</f>
        <v/>
      </c>
      <c r="O105" s="15" t="str">
        <f aca="false">IF($B105="","",O104+J105)</f>
        <v/>
      </c>
      <c r="P105" s="14" t="str">
        <f aca="false">IF($B105="","",P104+L105)</f>
        <v/>
      </c>
      <c r="Q105" s="18" t="str">
        <f aca="false">IF(OR($B105="",Q104="",'1 Setup'!$C$10=""),"",IF(AND($C105="Continuous",N(INDEX('2 Phases'!$G$7:$G$12,B105))&gt;0),IF('1 Setup'!$G$10="","",MAX(0,('1 Setup'!$G$10+('1 Setup'!$H$10*'1 Setup'!$C$10*0.00000024*$H105)/N(INDEX('2 Phases'!$G$7:$G$12,B105)))+(((Q104*($G104-$F104)+N('1 Setup'!$F$10)*$F104)/$G104)-('1 Setup'!$G$10+('1 Setup'!$H$10*'1 Setup'!$C$10*0.00000024*$H105)/N(INDEX('2 Phases'!$G$7:$G$12,B105))))*EXP(-N(INDEX('2 Phases'!$G$7:$G$12,B105))))),MAX(0,((Q104*($G104-$F104)+N('1 Setup'!$F$10)*$F104)/$G104)+('1 Setup'!$H$10*'1 Setup'!$C$10*0.00000024*$H105))))</f>
        <v/>
      </c>
      <c r="R105" s="18" t="str">
        <f aca="false">IF(OR($B105="",R104="",'1 Setup'!$C$11=""),"",IF(AND($C105="Continuous",N(INDEX('2 Phases'!$G$7:$G$12,B105))&gt;0),IF('1 Setup'!$G$11="","",MAX(0,('1 Setup'!$G$11+('1 Setup'!$H$11*'1 Setup'!$C$11*0.00000024*$H105)/N(INDEX('2 Phases'!$G$7:$G$12,B105)))+(((R104*($G104-$F104)+N('1 Setup'!$F$11)*$F104)/$G104)-('1 Setup'!$G$11+('1 Setup'!$H$11*'1 Setup'!$C$11*0.00000024*$H105)/N(INDEX('2 Phases'!$G$7:$G$12,B105))))*EXP(-N(INDEX('2 Phases'!$G$7:$G$12,B105))))),MAX(0,((R104*($G104-$F104)+N('1 Setup'!$F$11)*$F104)/$G104)+('1 Setup'!$H$11*'1 Setup'!$C$11*0.00000024*$H105))))</f>
        <v/>
      </c>
      <c r="S105" s="18" t="str">
        <f aca="false">IF(OR($B105="",S104="",'1 Setup'!$C$12=""),"",IF(AND($C105="Continuous",N(INDEX('2 Phases'!$G$7:$G$12,B105))&gt;0),IF('1 Setup'!$G$12="","",MAX(0,('1 Setup'!$G$12+('1 Setup'!$H$12*'1 Setup'!$C$12*0.00000024*$H105)/N(INDEX('2 Phases'!$G$7:$G$12,B105)))+(((S104*($G104-$F104)+N('1 Setup'!$F$12)*$F104)/$G104)-('1 Setup'!$G$12+('1 Setup'!$H$12*'1 Setup'!$C$12*0.00000024*$H105)/N(INDEX('2 Phases'!$G$7:$G$12,B105))))*EXP(-N(INDEX('2 Phases'!$G$7:$G$12,B105))))),MAX(0,((S104*($G104-$F104)+N('1 Setup'!$F$12)*$F104)/$G104)+('1 Setup'!$H$12*'1 Setup'!$C$12*0.00000024*$H105))))</f>
        <v/>
      </c>
      <c r="T105" s="18" t="str">
        <f aca="false">IF(OR($B105="",T104="",'1 Setup'!$C$13=""),"",IF(AND($C105="Continuous",N(INDEX('2 Phases'!$G$7:$G$12,B105))&gt;0),IF('1 Setup'!$G$13="","",MAX(0,('1 Setup'!$G$13+('1 Setup'!$H$13*'1 Setup'!$C$13*0.00000024*$H105)/N(INDEX('2 Phases'!$G$7:$G$12,B105)))+(((T104*($G104-$F104)+N('1 Setup'!$F$13)*$F104)/$G104)-('1 Setup'!$G$13+('1 Setup'!$H$13*'1 Setup'!$C$13*0.00000024*$H105)/N(INDEX('2 Phases'!$G$7:$G$12,B105))))*EXP(-N(INDEX('2 Phases'!$G$7:$G$12,B105))))),MAX(0,((T104*($G104-$F104)+N('1 Setup'!$F$13)*$F104)/$G104)+('1 Setup'!$H$13*'1 Setup'!$C$13*0.00000024*$H105))))</f>
        <v/>
      </c>
      <c r="U105" s="18" t="str">
        <f aca="false">IF(OR($B105="",U104="",'1 Setup'!$C$14=""),"",IF(AND($C105="Continuous",N(INDEX('2 Phases'!$G$7:$G$12,B105))&gt;0),IF('1 Setup'!$G$14="","",MAX(0,('1 Setup'!$G$14+('1 Setup'!$H$14*'1 Setup'!$C$14*0.00000024*$H105)/N(INDEX('2 Phases'!$G$7:$G$12,B105)))+(((U104*($G104-$F104)+N('1 Setup'!$F$14)*$F104)/$G104)-('1 Setup'!$G$14+('1 Setup'!$H$14*'1 Setup'!$C$14*0.00000024*$H105)/N(INDEX('2 Phases'!$G$7:$G$12,B105))))*EXP(-N(INDEX('2 Phases'!$G$7:$G$12,B105))))),MAX(0,((U104*($G104-$F104)+N('1 Setup'!$F$14)*$F104)/$G104)+('1 Setup'!$H$14*'1 Setup'!$C$14*0.00000024*$H105))))</f>
        <v/>
      </c>
      <c r="V105" s="18" t="str">
        <f aca="false">IF($B105="","",E105/1000000*'1 Setup'!$B$7)</f>
        <v/>
      </c>
      <c r="W105" s="18" t="str">
        <f aca="false">IF($B105="","",V105*G105)</f>
        <v/>
      </c>
      <c r="X105" s="18" t="str">
        <f aca="false">IF($B105="","",P105*'1 Setup'!$B$7/1000000000)</f>
        <v/>
      </c>
      <c r="Y105" s="18" t="str">
        <f aca="false">IF($B105="","",L105*'1 Setup'!$B$7/1000000000)</f>
        <v/>
      </c>
    </row>
    <row r="106" customFormat="false" ht="15" hidden="false" customHeight="false" outlineLevel="0" collapsed="false">
      <c r="A106" s="7" t="n">
        <v>100</v>
      </c>
      <c r="B106" s="7" t="str">
        <f aca="false">IF(A106&gt;'2 Phases'!$D$4,"",IF(A106=0,1,COUNTIF('2 Phases'!$M$7:$M$12,"&lt;"&amp;A106)+1))</f>
        <v/>
      </c>
      <c r="C106" s="7" t="str">
        <f aca="false">IF($B106="","",INDEX('2 Phases'!$C$7:$C$12,B106))</f>
        <v/>
      </c>
      <c r="D106" s="7" t="str">
        <f aca="false">IF($B106="","",A106-INDEX('2 Phases'!$L$7:$L$12,B106))</f>
        <v/>
      </c>
      <c r="E106" s="14" t="str">
        <f aca="false">IF($B106="","",IFERROR(IF(C106="Continuous",INDEX('2 Phases'!$N$7:$N$12,B106)*EXP((INDEX('2 Phases'!$P$7:$P$12,B106)-N(INDEX('2 Phases'!$H$7:$H$12,B106)))*D106),INDEX('2 Phases'!$N$7:$N$12,B106)*(IF(INDEX('2 Phases'!$E$7:$E$12,B106)="",INDEX('2 Phases'!$N$7:$N$12,B106),INDEX('2 Phases'!$E$7:$E$12,B106))/INDEX('2 Phases'!$N$7:$N$12,B106))^(D106/INDEX('2 Phases'!$D$7:$D$12,B106))),""))</f>
        <v/>
      </c>
      <c r="F106" s="15" t="n">
        <f aca="false">IF(OR($B106="",C106&lt;&gt;"Fed-batch",D106=0),0,IFERROR(N(INDEX('3 Feed regimes'!$B$6:$E$35,D106,MATCH(INDEX('2 Phases'!$F$7:$F$12,B106),'3 Feed regimes'!$B$4:$E$4,0)))*'1 Setup'!$B$5/100,0))</f>
        <v>0</v>
      </c>
      <c r="G106" s="15" t="str">
        <f aca="false">IF($B106="","",G105+F106)</f>
        <v/>
      </c>
      <c r="H106" s="14" t="str">
        <f aca="false">IF($B106="","",(E105+E106)/2)</f>
        <v/>
      </c>
      <c r="I106" s="15" t="str">
        <f aca="false">IF($B106="","",IF(C106="Continuous",N(INDEX('2 Phases'!$G$7:$G$12,B106))*G105,0))</f>
        <v/>
      </c>
      <c r="J106" s="15" t="str">
        <f aca="false">IF($B106="","",IF(C106="Continuous",N(INDEX('2 Phases'!$H$7:$H$12,B106))*G105,0))</f>
        <v/>
      </c>
      <c r="K106" s="15" t="str">
        <f aca="false">IF($B106="","",I106-J106)</f>
        <v/>
      </c>
      <c r="L106" s="14" t="str">
        <f aca="false">IF($B106="","",J106*1000*H106)</f>
        <v/>
      </c>
      <c r="M106" s="15" t="str">
        <f aca="false">IF($B106="","",M105+F106+I106)</f>
        <v/>
      </c>
      <c r="N106" s="15" t="str">
        <f aca="false">IF($B106="","",N105+K106)</f>
        <v/>
      </c>
      <c r="O106" s="15" t="str">
        <f aca="false">IF($B106="","",O105+J106)</f>
        <v/>
      </c>
      <c r="P106" s="14" t="str">
        <f aca="false">IF($B106="","",P105+L106)</f>
        <v/>
      </c>
      <c r="Q106" s="18" t="str">
        <f aca="false">IF(OR($B106="",Q105="",'1 Setup'!$C$10=""),"",IF(AND($C106="Continuous",N(INDEX('2 Phases'!$G$7:$G$12,B106))&gt;0),IF('1 Setup'!$G$10="","",MAX(0,('1 Setup'!$G$10+('1 Setup'!$H$10*'1 Setup'!$C$10*0.00000024*$H106)/N(INDEX('2 Phases'!$G$7:$G$12,B106)))+(((Q105*($G105-$F105)+N('1 Setup'!$F$10)*$F105)/$G105)-('1 Setup'!$G$10+('1 Setup'!$H$10*'1 Setup'!$C$10*0.00000024*$H106)/N(INDEX('2 Phases'!$G$7:$G$12,B106))))*EXP(-N(INDEX('2 Phases'!$G$7:$G$12,B106))))),MAX(0,((Q105*($G105-$F105)+N('1 Setup'!$F$10)*$F105)/$G105)+('1 Setup'!$H$10*'1 Setup'!$C$10*0.00000024*$H106))))</f>
        <v/>
      </c>
      <c r="R106" s="18" t="str">
        <f aca="false">IF(OR($B106="",R105="",'1 Setup'!$C$11=""),"",IF(AND($C106="Continuous",N(INDEX('2 Phases'!$G$7:$G$12,B106))&gt;0),IF('1 Setup'!$G$11="","",MAX(0,('1 Setup'!$G$11+('1 Setup'!$H$11*'1 Setup'!$C$11*0.00000024*$H106)/N(INDEX('2 Phases'!$G$7:$G$12,B106)))+(((R105*($G105-$F105)+N('1 Setup'!$F$11)*$F105)/$G105)-('1 Setup'!$G$11+('1 Setup'!$H$11*'1 Setup'!$C$11*0.00000024*$H106)/N(INDEX('2 Phases'!$G$7:$G$12,B106))))*EXP(-N(INDEX('2 Phases'!$G$7:$G$12,B106))))),MAX(0,((R105*($G105-$F105)+N('1 Setup'!$F$11)*$F105)/$G105)+('1 Setup'!$H$11*'1 Setup'!$C$11*0.00000024*$H106))))</f>
        <v/>
      </c>
      <c r="S106" s="18" t="str">
        <f aca="false">IF(OR($B106="",S105="",'1 Setup'!$C$12=""),"",IF(AND($C106="Continuous",N(INDEX('2 Phases'!$G$7:$G$12,B106))&gt;0),IF('1 Setup'!$G$12="","",MAX(0,('1 Setup'!$G$12+('1 Setup'!$H$12*'1 Setup'!$C$12*0.00000024*$H106)/N(INDEX('2 Phases'!$G$7:$G$12,B106)))+(((S105*($G105-$F105)+N('1 Setup'!$F$12)*$F105)/$G105)-('1 Setup'!$G$12+('1 Setup'!$H$12*'1 Setup'!$C$12*0.00000024*$H106)/N(INDEX('2 Phases'!$G$7:$G$12,B106))))*EXP(-N(INDEX('2 Phases'!$G$7:$G$12,B106))))),MAX(0,((S105*($G105-$F105)+N('1 Setup'!$F$12)*$F105)/$G105)+('1 Setup'!$H$12*'1 Setup'!$C$12*0.00000024*$H106))))</f>
        <v/>
      </c>
      <c r="T106" s="18" t="str">
        <f aca="false">IF(OR($B106="",T105="",'1 Setup'!$C$13=""),"",IF(AND($C106="Continuous",N(INDEX('2 Phases'!$G$7:$G$12,B106))&gt;0),IF('1 Setup'!$G$13="","",MAX(0,('1 Setup'!$G$13+('1 Setup'!$H$13*'1 Setup'!$C$13*0.00000024*$H106)/N(INDEX('2 Phases'!$G$7:$G$12,B106)))+(((T105*($G105-$F105)+N('1 Setup'!$F$13)*$F105)/$G105)-('1 Setup'!$G$13+('1 Setup'!$H$13*'1 Setup'!$C$13*0.00000024*$H106)/N(INDEX('2 Phases'!$G$7:$G$12,B106))))*EXP(-N(INDEX('2 Phases'!$G$7:$G$12,B106))))),MAX(0,((T105*($G105-$F105)+N('1 Setup'!$F$13)*$F105)/$G105)+('1 Setup'!$H$13*'1 Setup'!$C$13*0.00000024*$H106))))</f>
        <v/>
      </c>
      <c r="U106" s="18" t="str">
        <f aca="false">IF(OR($B106="",U105="",'1 Setup'!$C$14=""),"",IF(AND($C106="Continuous",N(INDEX('2 Phases'!$G$7:$G$12,B106))&gt;0),IF('1 Setup'!$G$14="","",MAX(0,('1 Setup'!$G$14+('1 Setup'!$H$14*'1 Setup'!$C$14*0.00000024*$H106)/N(INDEX('2 Phases'!$G$7:$G$12,B106)))+(((U105*($G105-$F105)+N('1 Setup'!$F$14)*$F105)/$G105)-('1 Setup'!$G$14+('1 Setup'!$H$14*'1 Setup'!$C$14*0.00000024*$H106)/N(INDEX('2 Phases'!$G$7:$G$12,B106))))*EXP(-N(INDEX('2 Phases'!$G$7:$G$12,B106))))),MAX(0,((U105*($G105-$F105)+N('1 Setup'!$F$14)*$F105)/$G105)+('1 Setup'!$H$14*'1 Setup'!$C$14*0.00000024*$H106))))</f>
        <v/>
      </c>
      <c r="V106" s="18" t="str">
        <f aca="false">IF($B106="","",E106/1000000*'1 Setup'!$B$7)</f>
        <v/>
      </c>
      <c r="W106" s="18" t="str">
        <f aca="false">IF($B106="","",V106*G106)</f>
        <v/>
      </c>
      <c r="X106" s="18" t="str">
        <f aca="false">IF($B106="","",P106*'1 Setup'!$B$7/1000000000)</f>
        <v/>
      </c>
      <c r="Y106" s="18" t="str">
        <f aca="false">IF($B106="","",L106*'1 Setup'!$B$7/1000000000)</f>
        <v/>
      </c>
    </row>
    <row r="107" customFormat="false" ht="15" hidden="false" customHeight="false" outlineLevel="0" collapsed="false">
      <c r="A107" s="7" t="n">
        <v>101</v>
      </c>
      <c r="B107" s="7" t="str">
        <f aca="false">IF(A107&gt;'2 Phases'!$D$4,"",IF(A107=0,1,COUNTIF('2 Phases'!$M$7:$M$12,"&lt;"&amp;A107)+1))</f>
        <v/>
      </c>
      <c r="C107" s="7" t="str">
        <f aca="false">IF($B107="","",INDEX('2 Phases'!$C$7:$C$12,B107))</f>
        <v/>
      </c>
      <c r="D107" s="7" t="str">
        <f aca="false">IF($B107="","",A107-INDEX('2 Phases'!$L$7:$L$12,B107))</f>
        <v/>
      </c>
      <c r="E107" s="14" t="str">
        <f aca="false">IF($B107="","",IFERROR(IF(C107="Continuous",INDEX('2 Phases'!$N$7:$N$12,B107)*EXP((INDEX('2 Phases'!$P$7:$P$12,B107)-N(INDEX('2 Phases'!$H$7:$H$12,B107)))*D107),INDEX('2 Phases'!$N$7:$N$12,B107)*(IF(INDEX('2 Phases'!$E$7:$E$12,B107)="",INDEX('2 Phases'!$N$7:$N$12,B107),INDEX('2 Phases'!$E$7:$E$12,B107))/INDEX('2 Phases'!$N$7:$N$12,B107))^(D107/INDEX('2 Phases'!$D$7:$D$12,B107))),""))</f>
        <v/>
      </c>
      <c r="F107" s="15" t="n">
        <f aca="false">IF(OR($B107="",C107&lt;&gt;"Fed-batch",D107=0),0,IFERROR(N(INDEX('3 Feed regimes'!$B$6:$E$35,D107,MATCH(INDEX('2 Phases'!$F$7:$F$12,B107),'3 Feed regimes'!$B$4:$E$4,0)))*'1 Setup'!$B$5/100,0))</f>
        <v>0</v>
      </c>
      <c r="G107" s="15" t="str">
        <f aca="false">IF($B107="","",G106+F107)</f>
        <v/>
      </c>
      <c r="H107" s="14" t="str">
        <f aca="false">IF($B107="","",(E106+E107)/2)</f>
        <v/>
      </c>
      <c r="I107" s="15" t="str">
        <f aca="false">IF($B107="","",IF(C107="Continuous",N(INDEX('2 Phases'!$G$7:$G$12,B107))*G106,0))</f>
        <v/>
      </c>
      <c r="J107" s="15" t="str">
        <f aca="false">IF($B107="","",IF(C107="Continuous",N(INDEX('2 Phases'!$H$7:$H$12,B107))*G106,0))</f>
        <v/>
      </c>
      <c r="K107" s="15" t="str">
        <f aca="false">IF($B107="","",I107-J107)</f>
        <v/>
      </c>
      <c r="L107" s="14" t="str">
        <f aca="false">IF($B107="","",J107*1000*H107)</f>
        <v/>
      </c>
      <c r="M107" s="15" t="str">
        <f aca="false">IF($B107="","",M106+F107+I107)</f>
        <v/>
      </c>
      <c r="N107" s="15" t="str">
        <f aca="false">IF($B107="","",N106+K107)</f>
        <v/>
      </c>
      <c r="O107" s="15" t="str">
        <f aca="false">IF($B107="","",O106+J107)</f>
        <v/>
      </c>
      <c r="P107" s="14" t="str">
        <f aca="false">IF($B107="","",P106+L107)</f>
        <v/>
      </c>
      <c r="Q107" s="18" t="str">
        <f aca="false">IF(OR($B107="",Q106="",'1 Setup'!$C$10=""),"",IF(AND($C107="Continuous",N(INDEX('2 Phases'!$G$7:$G$12,B107))&gt;0),IF('1 Setup'!$G$10="","",MAX(0,('1 Setup'!$G$10+('1 Setup'!$H$10*'1 Setup'!$C$10*0.00000024*$H107)/N(INDEX('2 Phases'!$G$7:$G$12,B107)))+(((Q106*($G106-$F106)+N('1 Setup'!$F$10)*$F106)/$G106)-('1 Setup'!$G$10+('1 Setup'!$H$10*'1 Setup'!$C$10*0.00000024*$H107)/N(INDEX('2 Phases'!$G$7:$G$12,B107))))*EXP(-N(INDEX('2 Phases'!$G$7:$G$12,B107))))),MAX(0,((Q106*($G106-$F106)+N('1 Setup'!$F$10)*$F106)/$G106)+('1 Setup'!$H$10*'1 Setup'!$C$10*0.00000024*$H107))))</f>
        <v/>
      </c>
      <c r="R107" s="18" t="str">
        <f aca="false">IF(OR($B107="",R106="",'1 Setup'!$C$11=""),"",IF(AND($C107="Continuous",N(INDEX('2 Phases'!$G$7:$G$12,B107))&gt;0),IF('1 Setup'!$G$11="","",MAX(0,('1 Setup'!$G$11+('1 Setup'!$H$11*'1 Setup'!$C$11*0.00000024*$H107)/N(INDEX('2 Phases'!$G$7:$G$12,B107)))+(((R106*($G106-$F106)+N('1 Setup'!$F$11)*$F106)/$G106)-('1 Setup'!$G$11+('1 Setup'!$H$11*'1 Setup'!$C$11*0.00000024*$H107)/N(INDEX('2 Phases'!$G$7:$G$12,B107))))*EXP(-N(INDEX('2 Phases'!$G$7:$G$12,B107))))),MAX(0,((R106*($G106-$F106)+N('1 Setup'!$F$11)*$F106)/$G106)+('1 Setup'!$H$11*'1 Setup'!$C$11*0.00000024*$H107))))</f>
        <v/>
      </c>
      <c r="S107" s="18" t="str">
        <f aca="false">IF(OR($B107="",S106="",'1 Setup'!$C$12=""),"",IF(AND($C107="Continuous",N(INDEX('2 Phases'!$G$7:$G$12,B107))&gt;0),IF('1 Setup'!$G$12="","",MAX(0,('1 Setup'!$G$12+('1 Setup'!$H$12*'1 Setup'!$C$12*0.00000024*$H107)/N(INDEX('2 Phases'!$G$7:$G$12,B107)))+(((S106*($G106-$F106)+N('1 Setup'!$F$12)*$F106)/$G106)-('1 Setup'!$G$12+('1 Setup'!$H$12*'1 Setup'!$C$12*0.00000024*$H107)/N(INDEX('2 Phases'!$G$7:$G$12,B107))))*EXP(-N(INDEX('2 Phases'!$G$7:$G$12,B107))))),MAX(0,((S106*($G106-$F106)+N('1 Setup'!$F$12)*$F106)/$G106)+('1 Setup'!$H$12*'1 Setup'!$C$12*0.00000024*$H107))))</f>
        <v/>
      </c>
      <c r="T107" s="18" t="str">
        <f aca="false">IF(OR($B107="",T106="",'1 Setup'!$C$13=""),"",IF(AND($C107="Continuous",N(INDEX('2 Phases'!$G$7:$G$12,B107))&gt;0),IF('1 Setup'!$G$13="","",MAX(0,('1 Setup'!$G$13+('1 Setup'!$H$13*'1 Setup'!$C$13*0.00000024*$H107)/N(INDEX('2 Phases'!$G$7:$G$12,B107)))+(((T106*($G106-$F106)+N('1 Setup'!$F$13)*$F106)/$G106)-('1 Setup'!$G$13+('1 Setup'!$H$13*'1 Setup'!$C$13*0.00000024*$H107)/N(INDEX('2 Phases'!$G$7:$G$12,B107))))*EXP(-N(INDEX('2 Phases'!$G$7:$G$12,B107))))),MAX(0,((T106*($G106-$F106)+N('1 Setup'!$F$13)*$F106)/$G106)+('1 Setup'!$H$13*'1 Setup'!$C$13*0.00000024*$H107))))</f>
        <v/>
      </c>
      <c r="U107" s="18" t="str">
        <f aca="false">IF(OR($B107="",U106="",'1 Setup'!$C$14=""),"",IF(AND($C107="Continuous",N(INDEX('2 Phases'!$G$7:$G$12,B107))&gt;0),IF('1 Setup'!$G$14="","",MAX(0,('1 Setup'!$G$14+('1 Setup'!$H$14*'1 Setup'!$C$14*0.00000024*$H107)/N(INDEX('2 Phases'!$G$7:$G$12,B107)))+(((U106*($G106-$F106)+N('1 Setup'!$F$14)*$F106)/$G106)-('1 Setup'!$G$14+('1 Setup'!$H$14*'1 Setup'!$C$14*0.00000024*$H107)/N(INDEX('2 Phases'!$G$7:$G$12,B107))))*EXP(-N(INDEX('2 Phases'!$G$7:$G$12,B107))))),MAX(0,((U106*($G106-$F106)+N('1 Setup'!$F$14)*$F106)/$G106)+('1 Setup'!$H$14*'1 Setup'!$C$14*0.00000024*$H107))))</f>
        <v/>
      </c>
      <c r="V107" s="18" t="str">
        <f aca="false">IF($B107="","",E107/1000000*'1 Setup'!$B$7)</f>
        <v/>
      </c>
      <c r="W107" s="18" t="str">
        <f aca="false">IF($B107="","",V107*G107)</f>
        <v/>
      </c>
      <c r="X107" s="18" t="str">
        <f aca="false">IF($B107="","",P107*'1 Setup'!$B$7/1000000000)</f>
        <v/>
      </c>
      <c r="Y107" s="18" t="str">
        <f aca="false">IF($B107="","",L107*'1 Setup'!$B$7/1000000000)</f>
        <v/>
      </c>
    </row>
    <row r="108" customFormat="false" ht="15" hidden="false" customHeight="false" outlineLevel="0" collapsed="false">
      <c r="A108" s="7" t="n">
        <v>102</v>
      </c>
      <c r="B108" s="7" t="str">
        <f aca="false">IF(A108&gt;'2 Phases'!$D$4,"",IF(A108=0,1,COUNTIF('2 Phases'!$M$7:$M$12,"&lt;"&amp;A108)+1))</f>
        <v/>
      </c>
      <c r="C108" s="7" t="str">
        <f aca="false">IF($B108="","",INDEX('2 Phases'!$C$7:$C$12,B108))</f>
        <v/>
      </c>
      <c r="D108" s="7" t="str">
        <f aca="false">IF($B108="","",A108-INDEX('2 Phases'!$L$7:$L$12,B108))</f>
        <v/>
      </c>
      <c r="E108" s="14" t="str">
        <f aca="false">IF($B108="","",IFERROR(IF(C108="Continuous",INDEX('2 Phases'!$N$7:$N$12,B108)*EXP((INDEX('2 Phases'!$P$7:$P$12,B108)-N(INDEX('2 Phases'!$H$7:$H$12,B108)))*D108),INDEX('2 Phases'!$N$7:$N$12,B108)*(IF(INDEX('2 Phases'!$E$7:$E$12,B108)="",INDEX('2 Phases'!$N$7:$N$12,B108),INDEX('2 Phases'!$E$7:$E$12,B108))/INDEX('2 Phases'!$N$7:$N$12,B108))^(D108/INDEX('2 Phases'!$D$7:$D$12,B108))),""))</f>
        <v/>
      </c>
      <c r="F108" s="15" t="n">
        <f aca="false">IF(OR($B108="",C108&lt;&gt;"Fed-batch",D108=0),0,IFERROR(N(INDEX('3 Feed regimes'!$B$6:$E$35,D108,MATCH(INDEX('2 Phases'!$F$7:$F$12,B108),'3 Feed regimes'!$B$4:$E$4,0)))*'1 Setup'!$B$5/100,0))</f>
        <v>0</v>
      </c>
      <c r="G108" s="15" t="str">
        <f aca="false">IF($B108="","",G107+F108)</f>
        <v/>
      </c>
      <c r="H108" s="14" t="str">
        <f aca="false">IF($B108="","",(E107+E108)/2)</f>
        <v/>
      </c>
      <c r="I108" s="15" t="str">
        <f aca="false">IF($B108="","",IF(C108="Continuous",N(INDEX('2 Phases'!$G$7:$G$12,B108))*G107,0))</f>
        <v/>
      </c>
      <c r="J108" s="15" t="str">
        <f aca="false">IF($B108="","",IF(C108="Continuous",N(INDEX('2 Phases'!$H$7:$H$12,B108))*G107,0))</f>
        <v/>
      </c>
      <c r="K108" s="15" t="str">
        <f aca="false">IF($B108="","",I108-J108)</f>
        <v/>
      </c>
      <c r="L108" s="14" t="str">
        <f aca="false">IF($B108="","",J108*1000*H108)</f>
        <v/>
      </c>
      <c r="M108" s="15" t="str">
        <f aca="false">IF($B108="","",M107+F108+I108)</f>
        <v/>
      </c>
      <c r="N108" s="15" t="str">
        <f aca="false">IF($B108="","",N107+K108)</f>
        <v/>
      </c>
      <c r="O108" s="15" t="str">
        <f aca="false">IF($B108="","",O107+J108)</f>
        <v/>
      </c>
      <c r="P108" s="14" t="str">
        <f aca="false">IF($B108="","",P107+L108)</f>
        <v/>
      </c>
      <c r="Q108" s="18" t="str">
        <f aca="false">IF(OR($B108="",Q107="",'1 Setup'!$C$10=""),"",IF(AND($C108="Continuous",N(INDEX('2 Phases'!$G$7:$G$12,B108))&gt;0),IF('1 Setup'!$G$10="","",MAX(0,('1 Setup'!$G$10+('1 Setup'!$H$10*'1 Setup'!$C$10*0.00000024*$H108)/N(INDEX('2 Phases'!$G$7:$G$12,B108)))+(((Q107*($G107-$F107)+N('1 Setup'!$F$10)*$F107)/$G107)-('1 Setup'!$G$10+('1 Setup'!$H$10*'1 Setup'!$C$10*0.00000024*$H108)/N(INDEX('2 Phases'!$G$7:$G$12,B108))))*EXP(-N(INDEX('2 Phases'!$G$7:$G$12,B108))))),MAX(0,((Q107*($G107-$F107)+N('1 Setup'!$F$10)*$F107)/$G107)+('1 Setup'!$H$10*'1 Setup'!$C$10*0.00000024*$H108))))</f>
        <v/>
      </c>
      <c r="R108" s="18" t="str">
        <f aca="false">IF(OR($B108="",R107="",'1 Setup'!$C$11=""),"",IF(AND($C108="Continuous",N(INDEX('2 Phases'!$G$7:$G$12,B108))&gt;0),IF('1 Setup'!$G$11="","",MAX(0,('1 Setup'!$G$11+('1 Setup'!$H$11*'1 Setup'!$C$11*0.00000024*$H108)/N(INDEX('2 Phases'!$G$7:$G$12,B108)))+(((R107*($G107-$F107)+N('1 Setup'!$F$11)*$F107)/$G107)-('1 Setup'!$G$11+('1 Setup'!$H$11*'1 Setup'!$C$11*0.00000024*$H108)/N(INDEX('2 Phases'!$G$7:$G$12,B108))))*EXP(-N(INDEX('2 Phases'!$G$7:$G$12,B108))))),MAX(0,((R107*($G107-$F107)+N('1 Setup'!$F$11)*$F107)/$G107)+('1 Setup'!$H$11*'1 Setup'!$C$11*0.00000024*$H108))))</f>
        <v/>
      </c>
      <c r="S108" s="18" t="str">
        <f aca="false">IF(OR($B108="",S107="",'1 Setup'!$C$12=""),"",IF(AND($C108="Continuous",N(INDEX('2 Phases'!$G$7:$G$12,B108))&gt;0),IF('1 Setup'!$G$12="","",MAX(0,('1 Setup'!$G$12+('1 Setup'!$H$12*'1 Setup'!$C$12*0.00000024*$H108)/N(INDEX('2 Phases'!$G$7:$G$12,B108)))+(((S107*($G107-$F107)+N('1 Setup'!$F$12)*$F107)/$G107)-('1 Setup'!$G$12+('1 Setup'!$H$12*'1 Setup'!$C$12*0.00000024*$H108)/N(INDEX('2 Phases'!$G$7:$G$12,B108))))*EXP(-N(INDEX('2 Phases'!$G$7:$G$12,B108))))),MAX(0,((S107*($G107-$F107)+N('1 Setup'!$F$12)*$F107)/$G107)+('1 Setup'!$H$12*'1 Setup'!$C$12*0.00000024*$H108))))</f>
        <v/>
      </c>
      <c r="T108" s="18" t="str">
        <f aca="false">IF(OR($B108="",T107="",'1 Setup'!$C$13=""),"",IF(AND($C108="Continuous",N(INDEX('2 Phases'!$G$7:$G$12,B108))&gt;0),IF('1 Setup'!$G$13="","",MAX(0,('1 Setup'!$G$13+('1 Setup'!$H$13*'1 Setup'!$C$13*0.00000024*$H108)/N(INDEX('2 Phases'!$G$7:$G$12,B108)))+(((T107*($G107-$F107)+N('1 Setup'!$F$13)*$F107)/$G107)-('1 Setup'!$G$13+('1 Setup'!$H$13*'1 Setup'!$C$13*0.00000024*$H108)/N(INDEX('2 Phases'!$G$7:$G$12,B108))))*EXP(-N(INDEX('2 Phases'!$G$7:$G$12,B108))))),MAX(0,((T107*($G107-$F107)+N('1 Setup'!$F$13)*$F107)/$G107)+('1 Setup'!$H$13*'1 Setup'!$C$13*0.00000024*$H108))))</f>
        <v/>
      </c>
      <c r="U108" s="18" t="str">
        <f aca="false">IF(OR($B108="",U107="",'1 Setup'!$C$14=""),"",IF(AND($C108="Continuous",N(INDEX('2 Phases'!$G$7:$G$12,B108))&gt;0),IF('1 Setup'!$G$14="","",MAX(0,('1 Setup'!$G$14+('1 Setup'!$H$14*'1 Setup'!$C$14*0.00000024*$H108)/N(INDEX('2 Phases'!$G$7:$G$12,B108)))+(((U107*($G107-$F107)+N('1 Setup'!$F$14)*$F107)/$G107)-('1 Setup'!$G$14+('1 Setup'!$H$14*'1 Setup'!$C$14*0.00000024*$H108)/N(INDEX('2 Phases'!$G$7:$G$12,B108))))*EXP(-N(INDEX('2 Phases'!$G$7:$G$12,B108))))),MAX(0,((U107*($G107-$F107)+N('1 Setup'!$F$14)*$F107)/$G107)+('1 Setup'!$H$14*'1 Setup'!$C$14*0.00000024*$H108))))</f>
        <v/>
      </c>
      <c r="V108" s="18" t="str">
        <f aca="false">IF($B108="","",E108/1000000*'1 Setup'!$B$7)</f>
        <v/>
      </c>
      <c r="W108" s="18" t="str">
        <f aca="false">IF($B108="","",V108*G108)</f>
        <v/>
      </c>
      <c r="X108" s="18" t="str">
        <f aca="false">IF($B108="","",P108*'1 Setup'!$B$7/1000000000)</f>
        <v/>
      </c>
      <c r="Y108" s="18" t="str">
        <f aca="false">IF($B108="","",L108*'1 Setup'!$B$7/1000000000)</f>
        <v/>
      </c>
    </row>
    <row r="109" customFormat="false" ht="15" hidden="false" customHeight="false" outlineLevel="0" collapsed="false">
      <c r="A109" s="7" t="n">
        <v>103</v>
      </c>
      <c r="B109" s="7" t="str">
        <f aca="false">IF(A109&gt;'2 Phases'!$D$4,"",IF(A109=0,1,COUNTIF('2 Phases'!$M$7:$M$12,"&lt;"&amp;A109)+1))</f>
        <v/>
      </c>
      <c r="C109" s="7" t="str">
        <f aca="false">IF($B109="","",INDEX('2 Phases'!$C$7:$C$12,B109))</f>
        <v/>
      </c>
      <c r="D109" s="7" t="str">
        <f aca="false">IF($B109="","",A109-INDEX('2 Phases'!$L$7:$L$12,B109))</f>
        <v/>
      </c>
      <c r="E109" s="14" t="str">
        <f aca="false">IF($B109="","",IFERROR(IF(C109="Continuous",INDEX('2 Phases'!$N$7:$N$12,B109)*EXP((INDEX('2 Phases'!$P$7:$P$12,B109)-N(INDEX('2 Phases'!$H$7:$H$12,B109)))*D109),INDEX('2 Phases'!$N$7:$N$12,B109)*(IF(INDEX('2 Phases'!$E$7:$E$12,B109)="",INDEX('2 Phases'!$N$7:$N$12,B109),INDEX('2 Phases'!$E$7:$E$12,B109))/INDEX('2 Phases'!$N$7:$N$12,B109))^(D109/INDEX('2 Phases'!$D$7:$D$12,B109))),""))</f>
        <v/>
      </c>
      <c r="F109" s="15" t="n">
        <f aca="false">IF(OR($B109="",C109&lt;&gt;"Fed-batch",D109=0),0,IFERROR(N(INDEX('3 Feed regimes'!$B$6:$E$35,D109,MATCH(INDEX('2 Phases'!$F$7:$F$12,B109),'3 Feed regimes'!$B$4:$E$4,0)))*'1 Setup'!$B$5/100,0))</f>
        <v>0</v>
      </c>
      <c r="G109" s="15" t="str">
        <f aca="false">IF($B109="","",G108+F109)</f>
        <v/>
      </c>
      <c r="H109" s="14" t="str">
        <f aca="false">IF($B109="","",(E108+E109)/2)</f>
        <v/>
      </c>
      <c r="I109" s="15" t="str">
        <f aca="false">IF($B109="","",IF(C109="Continuous",N(INDEX('2 Phases'!$G$7:$G$12,B109))*G108,0))</f>
        <v/>
      </c>
      <c r="J109" s="15" t="str">
        <f aca="false">IF($B109="","",IF(C109="Continuous",N(INDEX('2 Phases'!$H$7:$H$12,B109))*G108,0))</f>
        <v/>
      </c>
      <c r="K109" s="15" t="str">
        <f aca="false">IF($B109="","",I109-J109)</f>
        <v/>
      </c>
      <c r="L109" s="14" t="str">
        <f aca="false">IF($B109="","",J109*1000*H109)</f>
        <v/>
      </c>
      <c r="M109" s="15" t="str">
        <f aca="false">IF($B109="","",M108+F109+I109)</f>
        <v/>
      </c>
      <c r="N109" s="15" t="str">
        <f aca="false">IF($B109="","",N108+K109)</f>
        <v/>
      </c>
      <c r="O109" s="15" t="str">
        <f aca="false">IF($B109="","",O108+J109)</f>
        <v/>
      </c>
      <c r="P109" s="14" t="str">
        <f aca="false">IF($B109="","",P108+L109)</f>
        <v/>
      </c>
      <c r="Q109" s="18" t="str">
        <f aca="false">IF(OR($B109="",Q108="",'1 Setup'!$C$10=""),"",IF(AND($C109="Continuous",N(INDEX('2 Phases'!$G$7:$G$12,B109))&gt;0),IF('1 Setup'!$G$10="","",MAX(0,('1 Setup'!$G$10+('1 Setup'!$H$10*'1 Setup'!$C$10*0.00000024*$H109)/N(INDEX('2 Phases'!$G$7:$G$12,B109)))+(((Q108*($G108-$F108)+N('1 Setup'!$F$10)*$F108)/$G108)-('1 Setup'!$G$10+('1 Setup'!$H$10*'1 Setup'!$C$10*0.00000024*$H109)/N(INDEX('2 Phases'!$G$7:$G$12,B109))))*EXP(-N(INDEX('2 Phases'!$G$7:$G$12,B109))))),MAX(0,((Q108*($G108-$F108)+N('1 Setup'!$F$10)*$F108)/$G108)+('1 Setup'!$H$10*'1 Setup'!$C$10*0.00000024*$H109))))</f>
        <v/>
      </c>
      <c r="R109" s="18" t="str">
        <f aca="false">IF(OR($B109="",R108="",'1 Setup'!$C$11=""),"",IF(AND($C109="Continuous",N(INDEX('2 Phases'!$G$7:$G$12,B109))&gt;0),IF('1 Setup'!$G$11="","",MAX(0,('1 Setup'!$G$11+('1 Setup'!$H$11*'1 Setup'!$C$11*0.00000024*$H109)/N(INDEX('2 Phases'!$G$7:$G$12,B109)))+(((R108*($G108-$F108)+N('1 Setup'!$F$11)*$F108)/$G108)-('1 Setup'!$G$11+('1 Setup'!$H$11*'1 Setup'!$C$11*0.00000024*$H109)/N(INDEX('2 Phases'!$G$7:$G$12,B109))))*EXP(-N(INDEX('2 Phases'!$G$7:$G$12,B109))))),MAX(0,((R108*($G108-$F108)+N('1 Setup'!$F$11)*$F108)/$G108)+('1 Setup'!$H$11*'1 Setup'!$C$11*0.00000024*$H109))))</f>
        <v/>
      </c>
      <c r="S109" s="18" t="str">
        <f aca="false">IF(OR($B109="",S108="",'1 Setup'!$C$12=""),"",IF(AND($C109="Continuous",N(INDEX('2 Phases'!$G$7:$G$12,B109))&gt;0),IF('1 Setup'!$G$12="","",MAX(0,('1 Setup'!$G$12+('1 Setup'!$H$12*'1 Setup'!$C$12*0.00000024*$H109)/N(INDEX('2 Phases'!$G$7:$G$12,B109)))+(((S108*($G108-$F108)+N('1 Setup'!$F$12)*$F108)/$G108)-('1 Setup'!$G$12+('1 Setup'!$H$12*'1 Setup'!$C$12*0.00000024*$H109)/N(INDEX('2 Phases'!$G$7:$G$12,B109))))*EXP(-N(INDEX('2 Phases'!$G$7:$G$12,B109))))),MAX(0,((S108*($G108-$F108)+N('1 Setup'!$F$12)*$F108)/$G108)+('1 Setup'!$H$12*'1 Setup'!$C$12*0.00000024*$H109))))</f>
        <v/>
      </c>
      <c r="T109" s="18" t="str">
        <f aca="false">IF(OR($B109="",T108="",'1 Setup'!$C$13=""),"",IF(AND($C109="Continuous",N(INDEX('2 Phases'!$G$7:$G$12,B109))&gt;0),IF('1 Setup'!$G$13="","",MAX(0,('1 Setup'!$G$13+('1 Setup'!$H$13*'1 Setup'!$C$13*0.00000024*$H109)/N(INDEX('2 Phases'!$G$7:$G$12,B109)))+(((T108*($G108-$F108)+N('1 Setup'!$F$13)*$F108)/$G108)-('1 Setup'!$G$13+('1 Setup'!$H$13*'1 Setup'!$C$13*0.00000024*$H109)/N(INDEX('2 Phases'!$G$7:$G$12,B109))))*EXP(-N(INDEX('2 Phases'!$G$7:$G$12,B109))))),MAX(0,((T108*($G108-$F108)+N('1 Setup'!$F$13)*$F108)/$G108)+('1 Setup'!$H$13*'1 Setup'!$C$13*0.00000024*$H109))))</f>
        <v/>
      </c>
      <c r="U109" s="18" t="str">
        <f aca="false">IF(OR($B109="",U108="",'1 Setup'!$C$14=""),"",IF(AND($C109="Continuous",N(INDEX('2 Phases'!$G$7:$G$12,B109))&gt;0),IF('1 Setup'!$G$14="","",MAX(0,('1 Setup'!$G$14+('1 Setup'!$H$14*'1 Setup'!$C$14*0.00000024*$H109)/N(INDEX('2 Phases'!$G$7:$G$12,B109)))+(((U108*($G108-$F108)+N('1 Setup'!$F$14)*$F108)/$G108)-('1 Setup'!$G$14+('1 Setup'!$H$14*'1 Setup'!$C$14*0.00000024*$H109)/N(INDEX('2 Phases'!$G$7:$G$12,B109))))*EXP(-N(INDEX('2 Phases'!$G$7:$G$12,B109))))),MAX(0,((U108*($G108-$F108)+N('1 Setup'!$F$14)*$F108)/$G108)+('1 Setup'!$H$14*'1 Setup'!$C$14*0.00000024*$H109))))</f>
        <v/>
      </c>
      <c r="V109" s="18" t="str">
        <f aca="false">IF($B109="","",E109/1000000*'1 Setup'!$B$7)</f>
        <v/>
      </c>
      <c r="W109" s="18" t="str">
        <f aca="false">IF($B109="","",V109*G109)</f>
        <v/>
      </c>
      <c r="X109" s="18" t="str">
        <f aca="false">IF($B109="","",P109*'1 Setup'!$B$7/1000000000)</f>
        <v/>
      </c>
      <c r="Y109" s="18" t="str">
        <f aca="false">IF($B109="","",L109*'1 Setup'!$B$7/1000000000)</f>
        <v/>
      </c>
    </row>
    <row r="110" customFormat="false" ht="15" hidden="false" customHeight="false" outlineLevel="0" collapsed="false">
      <c r="A110" s="7" t="n">
        <v>104</v>
      </c>
      <c r="B110" s="7" t="str">
        <f aca="false">IF(A110&gt;'2 Phases'!$D$4,"",IF(A110=0,1,COUNTIF('2 Phases'!$M$7:$M$12,"&lt;"&amp;A110)+1))</f>
        <v/>
      </c>
      <c r="C110" s="7" t="str">
        <f aca="false">IF($B110="","",INDEX('2 Phases'!$C$7:$C$12,B110))</f>
        <v/>
      </c>
      <c r="D110" s="7" t="str">
        <f aca="false">IF($B110="","",A110-INDEX('2 Phases'!$L$7:$L$12,B110))</f>
        <v/>
      </c>
      <c r="E110" s="14" t="str">
        <f aca="false">IF($B110="","",IFERROR(IF(C110="Continuous",INDEX('2 Phases'!$N$7:$N$12,B110)*EXP((INDEX('2 Phases'!$P$7:$P$12,B110)-N(INDEX('2 Phases'!$H$7:$H$12,B110)))*D110),INDEX('2 Phases'!$N$7:$N$12,B110)*(IF(INDEX('2 Phases'!$E$7:$E$12,B110)="",INDEX('2 Phases'!$N$7:$N$12,B110),INDEX('2 Phases'!$E$7:$E$12,B110))/INDEX('2 Phases'!$N$7:$N$12,B110))^(D110/INDEX('2 Phases'!$D$7:$D$12,B110))),""))</f>
        <v/>
      </c>
      <c r="F110" s="15" t="n">
        <f aca="false">IF(OR($B110="",C110&lt;&gt;"Fed-batch",D110=0),0,IFERROR(N(INDEX('3 Feed regimes'!$B$6:$E$35,D110,MATCH(INDEX('2 Phases'!$F$7:$F$12,B110),'3 Feed regimes'!$B$4:$E$4,0)))*'1 Setup'!$B$5/100,0))</f>
        <v>0</v>
      </c>
      <c r="G110" s="15" t="str">
        <f aca="false">IF($B110="","",G109+F110)</f>
        <v/>
      </c>
      <c r="H110" s="14" t="str">
        <f aca="false">IF($B110="","",(E109+E110)/2)</f>
        <v/>
      </c>
      <c r="I110" s="15" t="str">
        <f aca="false">IF($B110="","",IF(C110="Continuous",N(INDEX('2 Phases'!$G$7:$G$12,B110))*G109,0))</f>
        <v/>
      </c>
      <c r="J110" s="15" t="str">
        <f aca="false">IF($B110="","",IF(C110="Continuous",N(INDEX('2 Phases'!$H$7:$H$12,B110))*G109,0))</f>
        <v/>
      </c>
      <c r="K110" s="15" t="str">
        <f aca="false">IF($B110="","",I110-J110)</f>
        <v/>
      </c>
      <c r="L110" s="14" t="str">
        <f aca="false">IF($B110="","",J110*1000*H110)</f>
        <v/>
      </c>
      <c r="M110" s="15" t="str">
        <f aca="false">IF($B110="","",M109+F110+I110)</f>
        <v/>
      </c>
      <c r="N110" s="15" t="str">
        <f aca="false">IF($B110="","",N109+K110)</f>
        <v/>
      </c>
      <c r="O110" s="15" t="str">
        <f aca="false">IF($B110="","",O109+J110)</f>
        <v/>
      </c>
      <c r="P110" s="14" t="str">
        <f aca="false">IF($B110="","",P109+L110)</f>
        <v/>
      </c>
      <c r="Q110" s="18" t="str">
        <f aca="false">IF(OR($B110="",Q109="",'1 Setup'!$C$10=""),"",IF(AND($C110="Continuous",N(INDEX('2 Phases'!$G$7:$G$12,B110))&gt;0),IF('1 Setup'!$G$10="","",MAX(0,('1 Setup'!$G$10+('1 Setup'!$H$10*'1 Setup'!$C$10*0.00000024*$H110)/N(INDEX('2 Phases'!$G$7:$G$12,B110)))+(((Q109*($G109-$F109)+N('1 Setup'!$F$10)*$F109)/$G109)-('1 Setup'!$G$10+('1 Setup'!$H$10*'1 Setup'!$C$10*0.00000024*$H110)/N(INDEX('2 Phases'!$G$7:$G$12,B110))))*EXP(-N(INDEX('2 Phases'!$G$7:$G$12,B110))))),MAX(0,((Q109*($G109-$F109)+N('1 Setup'!$F$10)*$F109)/$G109)+('1 Setup'!$H$10*'1 Setup'!$C$10*0.00000024*$H110))))</f>
        <v/>
      </c>
      <c r="R110" s="18" t="str">
        <f aca="false">IF(OR($B110="",R109="",'1 Setup'!$C$11=""),"",IF(AND($C110="Continuous",N(INDEX('2 Phases'!$G$7:$G$12,B110))&gt;0),IF('1 Setup'!$G$11="","",MAX(0,('1 Setup'!$G$11+('1 Setup'!$H$11*'1 Setup'!$C$11*0.00000024*$H110)/N(INDEX('2 Phases'!$G$7:$G$12,B110)))+(((R109*($G109-$F109)+N('1 Setup'!$F$11)*$F109)/$G109)-('1 Setup'!$G$11+('1 Setup'!$H$11*'1 Setup'!$C$11*0.00000024*$H110)/N(INDEX('2 Phases'!$G$7:$G$12,B110))))*EXP(-N(INDEX('2 Phases'!$G$7:$G$12,B110))))),MAX(0,((R109*($G109-$F109)+N('1 Setup'!$F$11)*$F109)/$G109)+('1 Setup'!$H$11*'1 Setup'!$C$11*0.00000024*$H110))))</f>
        <v/>
      </c>
      <c r="S110" s="18" t="str">
        <f aca="false">IF(OR($B110="",S109="",'1 Setup'!$C$12=""),"",IF(AND($C110="Continuous",N(INDEX('2 Phases'!$G$7:$G$12,B110))&gt;0),IF('1 Setup'!$G$12="","",MAX(0,('1 Setup'!$G$12+('1 Setup'!$H$12*'1 Setup'!$C$12*0.00000024*$H110)/N(INDEX('2 Phases'!$G$7:$G$12,B110)))+(((S109*($G109-$F109)+N('1 Setup'!$F$12)*$F109)/$G109)-('1 Setup'!$G$12+('1 Setup'!$H$12*'1 Setup'!$C$12*0.00000024*$H110)/N(INDEX('2 Phases'!$G$7:$G$12,B110))))*EXP(-N(INDEX('2 Phases'!$G$7:$G$12,B110))))),MAX(0,((S109*($G109-$F109)+N('1 Setup'!$F$12)*$F109)/$G109)+('1 Setup'!$H$12*'1 Setup'!$C$12*0.00000024*$H110))))</f>
        <v/>
      </c>
      <c r="T110" s="18" t="str">
        <f aca="false">IF(OR($B110="",T109="",'1 Setup'!$C$13=""),"",IF(AND($C110="Continuous",N(INDEX('2 Phases'!$G$7:$G$12,B110))&gt;0),IF('1 Setup'!$G$13="","",MAX(0,('1 Setup'!$G$13+('1 Setup'!$H$13*'1 Setup'!$C$13*0.00000024*$H110)/N(INDEX('2 Phases'!$G$7:$G$12,B110)))+(((T109*($G109-$F109)+N('1 Setup'!$F$13)*$F109)/$G109)-('1 Setup'!$G$13+('1 Setup'!$H$13*'1 Setup'!$C$13*0.00000024*$H110)/N(INDEX('2 Phases'!$G$7:$G$12,B110))))*EXP(-N(INDEX('2 Phases'!$G$7:$G$12,B110))))),MAX(0,((T109*($G109-$F109)+N('1 Setup'!$F$13)*$F109)/$G109)+('1 Setup'!$H$13*'1 Setup'!$C$13*0.00000024*$H110))))</f>
        <v/>
      </c>
      <c r="U110" s="18" t="str">
        <f aca="false">IF(OR($B110="",U109="",'1 Setup'!$C$14=""),"",IF(AND($C110="Continuous",N(INDEX('2 Phases'!$G$7:$G$12,B110))&gt;0),IF('1 Setup'!$G$14="","",MAX(0,('1 Setup'!$G$14+('1 Setup'!$H$14*'1 Setup'!$C$14*0.00000024*$H110)/N(INDEX('2 Phases'!$G$7:$G$12,B110)))+(((U109*($G109-$F109)+N('1 Setup'!$F$14)*$F109)/$G109)-('1 Setup'!$G$14+('1 Setup'!$H$14*'1 Setup'!$C$14*0.00000024*$H110)/N(INDEX('2 Phases'!$G$7:$G$12,B110))))*EXP(-N(INDEX('2 Phases'!$G$7:$G$12,B110))))),MAX(0,((U109*($G109-$F109)+N('1 Setup'!$F$14)*$F109)/$G109)+('1 Setup'!$H$14*'1 Setup'!$C$14*0.00000024*$H110))))</f>
        <v/>
      </c>
      <c r="V110" s="18" t="str">
        <f aca="false">IF($B110="","",E110/1000000*'1 Setup'!$B$7)</f>
        <v/>
      </c>
      <c r="W110" s="18" t="str">
        <f aca="false">IF($B110="","",V110*G110)</f>
        <v/>
      </c>
      <c r="X110" s="18" t="str">
        <f aca="false">IF($B110="","",P110*'1 Setup'!$B$7/1000000000)</f>
        <v/>
      </c>
      <c r="Y110" s="18" t="str">
        <f aca="false">IF($B110="","",L110*'1 Setup'!$B$7/1000000000)</f>
        <v/>
      </c>
    </row>
    <row r="111" customFormat="false" ht="15" hidden="false" customHeight="false" outlineLevel="0" collapsed="false">
      <c r="A111" s="7" t="n">
        <v>105</v>
      </c>
      <c r="B111" s="7" t="str">
        <f aca="false">IF(A111&gt;'2 Phases'!$D$4,"",IF(A111=0,1,COUNTIF('2 Phases'!$M$7:$M$12,"&lt;"&amp;A111)+1))</f>
        <v/>
      </c>
      <c r="C111" s="7" t="str">
        <f aca="false">IF($B111="","",INDEX('2 Phases'!$C$7:$C$12,B111))</f>
        <v/>
      </c>
      <c r="D111" s="7" t="str">
        <f aca="false">IF($B111="","",A111-INDEX('2 Phases'!$L$7:$L$12,B111))</f>
        <v/>
      </c>
      <c r="E111" s="14" t="str">
        <f aca="false">IF($B111="","",IFERROR(IF(C111="Continuous",INDEX('2 Phases'!$N$7:$N$12,B111)*EXP((INDEX('2 Phases'!$P$7:$P$12,B111)-N(INDEX('2 Phases'!$H$7:$H$12,B111)))*D111),INDEX('2 Phases'!$N$7:$N$12,B111)*(IF(INDEX('2 Phases'!$E$7:$E$12,B111)="",INDEX('2 Phases'!$N$7:$N$12,B111),INDEX('2 Phases'!$E$7:$E$12,B111))/INDEX('2 Phases'!$N$7:$N$12,B111))^(D111/INDEX('2 Phases'!$D$7:$D$12,B111))),""))</f>
        <v/>
      </c>
      <c r="F111" s="15" t="n">
        <f aca="false">IF(OR($B111="",C111&lt;&gt;"Fed-batch",D111=0),0,IFERROR(N(INDEX('3 Feed regimes'!$B$6:$E$35,D111,MATCH(INDEX('2 Phases'!$F$7:$F$12,B111),'3 Feed regimes'!$B$4:$E$4,0)))*'1 Setup'!$B$5/100,0))</f>
        <v>0</v>
      </c>
      <c r="G111" s="15" t="str">
        <f aca="false">IF($B111="","",G110+F111)</f>
        <v/>
      </c>
      <c r="H111" s="14" t="str">
        <f aca="false">IF($B111="","",(E110+E111)/2)</f>
        <v/>
      </c>
      <c r="I111" s="15" t="str">
        <f aca="false">IF($B111="","",IF(C111="Continuous",N(INDEX('2 Phases'!$G$7:$G$12,B111))*G110,0))</f>
        <v/>
      </c>
      <c r="J111" s="15" t="str">
        <f aca="false">IF($B111="","",IF(C111="Continuous",N(INDEX('2 Phases'!$H$7:$H$12,B111))*G110,0))</f>
        <v/>
      </c>
      <c r="K111" s="15" t="str">
        <f aca="false">IF($B111="","",I111-J111)</f>
        <v/>
      </c>
      <c r="L111" s="14" t="str">
        <f aca="false">IF($B111="","",J111*1000*H111)</f>
        <v/>
      </c>
      <c r="M111" s="15" t="str">
        <f aca="false">IF($B111="","",M110+F111+I111)</f>
        <v/>
      </c>
      <c r="N111" s="15" t="str">
        <f aca="false">IF($B111="","",N110+K111)</f>
        <v/>
      </c>
      <c r="O111" s="15" t="str">
        <f aca="false">IF($B111="","",O110+J111)</f>
        <v/>
      </c>
      <c r="P111" s="14" t="str">
        <f aca="false">IF($B111="","",P110+L111)</f>
        <v/>
      </c>
      <c r="Q111" s="18" t="str">
        <f aca="false">IF(OR($B111="",Q110="",'1 Setup'!$C$10=""),"",IF(AND($C111="Continuous",N(INDEX('2 Phases'!$G$7:$G$12,B111))&gt;0),IF('1 Setup'!$G$10="","",MAX(0,('1 Setup'!$G$10+('1 Setup'!$H$10*'1 Setup'!$C$10*0.00000024*$H111)/N(INDEX('2 Phases'!$G$7:$G$12,B111)))+(((Q110*($G110-$F110)+N('1 Setup'!$F$10)*$F110)/$G110)-('1 Setup'!$G$10+('1 Setup'!$H$10*'1 Setup'!$C$10*0.00000024*$H111)/N(INDEX('2 Phases'!$G$7:$G$12,B111))))*EXP(-N(INDEX('2 Phases'!$G$7:$G$12,B111))))),MAX(0,((Q110*($G110-$F110)+N('1 Setup'!$F$10)*$F110)/$G110)+('1 Setup'!$H$10*'1 Setup'!$C$10*0.00000024*$H111))))</f>
        <v/>
      </c>
      <c r="R111" s="18" t="str">
        <f aca="false">IF(OR($B111="",R110="",'1 Setup'!$C$11=""),"",IF(AND($C111="Continuous",N(INDEX('2 Phases'!$G$7:$G$12,B111))&gt;0),IF('1 Setup'!$G$11="","",MAX(0,('1 Setup'!$G$11+('1 Setup'!$H$11*'1 Setup'!$C$11*0.00000024*$H111)/N(INDEX('2 Phases'!$G$7:$G$12,B111)))+(((R110*($G110-$F110)+N('1 Setup'!$F$11)*$F110)/$G110)-('1 Setup'!$G$11+('1 Setup'!$H$11*'1 Setup'!$C$11*0.00000024*$H111)/N(INDEX('2 Phases'!$G$7:$G$12,B111))))*EXP(-N(INDEX('2 Phases'!$G$7:$G$12,B111))))),MAX(0,((R110*($G110-$F110)+N('1 Setup'!$F$11)*$F110)/$G110)+('1 Setup'!$H$11*'1 Setup'!$C$11*0.00000024*$H111))))</f>
        <v/>
      </c>
      <c r="S111" s="18" t="str">
        <f aca="false">IF(OR($B111="",S110="",'1 Setup'!$C$12=""),"",IF(AND($C111="Continuous",N(INDEX('2 Phases'!$G$7:$G$12,B111))&gt;0),IF('1 Setup'!$G$12="","",MAX(0,('1 Setup'!$G$12+('1 Setup'!$H$12*'1 Setup'!$C$12*0.00000024*$H111)/N(INDEX('2 Phases'!$G$7:$G$12,B111)))+(((S110*($G110-$F110)+N('1 Setup'!$F$12)*$F110)/$G110)-('1 Setup'!$G$12+('1 Setup'!$H$12*'1 Setup'!$C$12*0.00000024*$H111)/N(INDEX('2 Phases'!$G$7:$G$12,B111))))*EXP(-N(INDEX('2 Phases'!$G$7:$G$12,B111))))),MAX(0,((S110*($G110-$F110)+N('1 Setup'!$F$12)*$F110)/$G110)+('1 Setup'!$H$12*'1 Setup'!$C$12*0.00000024*$H111))))</f>
        <v/>
      </c>
      <c r="T111" s="18" t="str">
        <f aca="false">IF(OR($B111="",T110="",'1 Setup'!$C$13=""),"",IF(AND($C111="Continuous",N(INDEX('2 Phases'!$G$7:$G$12,B111))&gt;0),IF('1 Setup'!$G$13="","",MAX(0,('1 Setup'!$G$13+('1 Setup'!$H$13*'1 Setup'!$C$13*0.00000024*$H111)/N(INDEX('2 Phases'!$G$7:$G$12,B111)))+(((T110*($G110-$F110)+N('1 Setup'!$F$13)*$F110)/$G110)-('1 Setup'!$G$13+('1 Setup'!$H$13*'1 Setup'!$C$13*0.00000024*$H111)/N(INDEX('2 Phases'!$G$7:$G$12,B111))))*EXP(-N(INDEX('2 Phases'!$G$7:$G$12,B111))))),MAX(0,((T110*($G110-$F110)+N('1 Setup'!$F$13)*$F110)/$G110)+('1 Setup'!$H$13*'1 Setup'!$C$13*0.00000024*$H111))))</f>
        <v/>
      </c>
      <c r="U111" s="18" t="str">
        <f aca="false">IF(OR($B111="",U110="",'1 Setup'!$C$14=""),"",IF(AND($C111="Continuous",N(INDEX('2 Phases'!$G$7:$G$12,B111))&gt;0),IF('1 Setup'!$G$14="","",MAX(0,('1 Setup'!$G$14+('1 Setup'!$H$14*'1 Setup'!$C$14*0.00000024*$H111)/N(INDEX('2 Phases'!$G$7:$G$12,B111)))+(((U110*($G110-$F110)+N('1 Setup'!$F$14)*$F110)/$G110)-('1 Setup'!$G$14+('1 Setup'!$H$14*'1 Setup'!$C$14*0.00000024*$H111)/N(INDEX('2 Phases'!$G$7:$G$12,B111))))*EXP(-N(INDEX('2 Phases'!$G$7:$G$12,B111))))),MAX(0,((U110*($G110-$F110)+N('1 Setup'!$F$14)*$F110)/$G110)+('1 Setup'!$H$14*'1 Setup'!$C$14*0.00000024*$H111))))</f>
        <v/>
      </c>
      <c r="V111" s="18" t="str">
        <f aca="false">IF($B111="","",E111/1000000*'1 Setup'!$B$7)</f>
        <v/>
      </c>
      <c r="W111" s="18" t="str">
        <f aca="false">IF($B111="","",V111*G111)</f>
        <v/>
      </c>
      <c r="X111" s="18" t="str">
        <f aca="false">IF($B111="","",P111*'1 Setup'!$B$7/1000000000)</f>
        <v/>
      </c>
      <c r="Y111" s="18" t="str">
        <f aca="false">IF($B111="","",L111*'1 Setup'!$B$7/1000000000)</f>
        <v/>
      </c>
    </row>
    <row r="112" customFormat="false" ht="15" hidden="false" customHeight="false" outlineLevel="0" collapsed="false">
      <c r="A112" s="7" t="n">
        <v>106</v>
      </c>
      <c r="B112" s="7" t="str">
        <f aca="false">IF(A112&gt;'2 Phases'!$D$4,"",IF(A112=0,1,COUNTIF('2 Phases'!$M$7:$M$12,"&lt;"&amp;A112)+1))</f>
        <v/>
      </c>
      <c r="C112" s="7" t="str">
        <f aca="false">IF($B112="","",INDEX('2 Phases'!$C$7:$C$12,B112))</f>
        <v/>
      </c>
      <c r="D112" s="7" t="str">
        <f aca="false">IF($B112="","",A112-INDEX('2 Phases'!$L$7:$L$12,B112))</f>
        <v/>
      </c>
      <c r="E112" s="14" t="str">
        <f aca="false">IF($B112="","",IFERROR(IF(C112="Continuous",INDEX('2 Phases'!$N$7:$N$12,B112)*EXP((INDEX('2 Phases'!$P$7:$P$12,B112)-N(INDEX('2 Phases'!$H$7:$H$12,B112)))*D112),INDEX('2 Phases'!$N$7:$N$12,B112)*(IF(INDEX('2 Phases'!$E$7:$E$12,B112)="",INDEX('2 Phases'!$N$7:$N$12,B112),INDEX('2 Phases'!$E$7:$E$12,B112))/INDEX('2 Phases'!$N$7:$N$12,B112))^(D112/INDEX('2 Phases'!$D$7:$D$12,B112))),""))</f>
        <v/>
      </c>
      <c r="F112" s="15" t="n">
        <f aca="false">IF(OR($B112="",C112&lt;&gt;"Fed-batch",D112=0),0,IFERROR(N(INDEX('3 Feed regimes'!$B$6:$E$35,D112,MATCH(INDEX('2 Phases'!$F$7:$F$12,B112),'3 Feed regimes'!$B$4:$E$4,0)))*'1 Setup'!$B$5/100,0))</f>
        <v>0</v>
      </c>
      <c r="G112" s="15" t="str">
        <f aca="false">IF($B112="","",G111+F112)</f>
        <v/>
      </c>
      <c r="H112" s="14" t="str">
        <f aca="false">IF($B112="","",(E111+E112)/2)</f>
        <v/>
      </c>
      <c r="I112" s="15" t="str">
        <f aca="false">IF($B112="","",IF(C112="Continuous",N(INDEX('2 Phases'!$G$7:$G$12,B112))*G111,0))</f>
        <v/>
      </c>
      <c r="J112" s="15" t="str">
        <f aca="false">IF($B112="","",IF(C112="Continuous",N(INDEX('2 Phases'!$H$7:$H$12,B112))*G111,0))</f>
        <v/>
      </c>
      <c r="K112" s="15" t="str">
        <f aca="false">IF($B112="","",I112-J112)</f>
        <v/>
      </c>
      <c r="L112" s="14" t="str">
        <f aca="false">IF($B112="","",J112*1000*H112)</f>
        <v/>
      </c>
      <c r="M112" s="15" t="str">
        <f aca="false">IF($B112="","",M111+F112+I112)</f>
        <v/>
      </c>
      <c r="N112" s="15" t="str">
        <f aca="false">IF($B112="","",N111+K112)</f>
        <v/>
      </c>
      <c r="O112" s="15" t="str">
        <f aca="false">IF($B112="","",O111+J112)</f>
        <v/>
      </c>
      <c r="P112" s="14" t="str">
        <f aca="false">IF($B112="","",P111+L112)</f>
        <v/>
      </c>
      <c r="Q112" s="18" t="str">
        <f aca="false">IF(OR($B112="",Q111="",'1 Setup'!$C$10=""),"",IF(AND($C112="Continuous",N(INDEX('2 Phases'!$G$7:$G$12,B112))&gt;0),IF('1 Setup'!$G$10="","",MAX(0,('1 Setup'!$G$10+('1 Setup'!$H$10*'1 Setup'!$C$10*0.00000024*$H112)/N(INDEX('2 Phases'!$G$7:$G$12,B112)))+(((Q111*($G111-$F111)+N('1 Setup'!$F$10)*$F111)/$G111)-('1 Setup'!$G$10+('1 Setup'!$H$10*'1 Setup'!$C$10*0.00000024*$H112)/N(INDEX('2 Phases'!$G$7:$G$12,B112))))*EXP(-N(INDEX('2 Phases'!$G$7:$G$12,B112))))),MAX(0,((Q111*($G111-$F111)+N('1 Setup'!$F$10)*$F111)/$G111)+('1 Setup'!$H$10*'1 Setup'!$C$10*0.00000024*$H112))))</f>
        <v/>
      </c>
      <c r="R112" s="18" t="str">
        <f aca="false">IF(OR($B112="",R111="",'1 Setup'!$C$11=""),"",IF(AND($C112="Continuous",N(INDEX('2 Phases'!$G$7:$G$12,B112))&gt;0),IF('1 Setup'!$G$11="","",MAX(0,('1 Setup'!$G$11+('1 Setup'!$H$11*'1 Setup'!$C$11*0.00000024*$H112)/N(INDEX('2 Phases'!$G$7:$G$12,B112)))+(((R111*($G111-$F111)+N('1 Setup'!$F$11)*$F111)/$G111)-('1 Setup'!$G$11+('1 Setup'!$H$11*'1 Setup'!$C$11*0.00000024*$H112)/N(INDEX('2 Phases'!$G$7:$G$12,B112))))*EXP(-N(INDEX('2 Phases'!$G$7:$G$12,B112))))),MAX(0,((R111*($G111-$F111)+N('1 Setup'!$F$11)*$F111)/$G111)+('1 Setup'!$H$11*'1 Setup'!$C$11*0.00000024*$H112))))</f>
        <v/>
      </c>
      <c r="S112" s="18" t="str">
        <f aca="false">IF(OR($B112="",S111="",'1 Setup'!$C$12=""),"",IF(AND($C112="Continuous",N(INDEX('2 Phases'!$G$7:$G$12,B112))&gt;0),IF('1 Setup'!$G$12="","",MAX(0,('1 Setup'!$G$12+('1 Setup'!$H$12*'1 Setup'!$C$12*0.00000024*$H112)/N(INDEX('2 Phases'!$G$7:$G$12,B112)))+(((S111*($G111-$F111)+N('1 Setup'!$F$12)*$F111)/$G111)-('1 Setup'!$G$12+('1 Setup'!$H$12*'1 Setup'!$C$12*0.00000024*$H112)/N(INDEX('2 Phases'!$G$7:$G$12,B112))))*EXP(-N(INDEX('2 Phases'!$G$7:$G$12,B112))))),MAX(0,((S111*($G111-$F111)+N('1 Setup'!$F$12)*$F111)/$G111)+('1 Setup'!$H$12*'1 Setup'!$C$12*0.00000024*$H112))))</f>
        <v/>
      </c>
      <c r="T112" s="18" t="str">
        <f aca="false">IF(OR($B112="",T111="",'1 Setup'!$C$13=""),"",IF(AND($C112="Continuous",N(INDEX('2 Phases'!$G$7:$G$12,B112))&gt;0),IF('1 Setup'!$G$13="","",MAX(0,('1 Setup'!$G$13+('1 Setup'!$H$13*'1 Setup'!$C$13*0.00000024*$H112)/N(INDEX('2 Phases'!$G$7:$G$12,B112)))+(((T111*($G111-$F111)+N('1 Setup'!$F$13)*$F111)/$G111)-('1 Setup'!$G$13+('1 Setup'!$H$13*'1 Setup'!$C$13*0.00000024*$H112)/N(INDEX('2 Phases'!$G$7:$G$12,B112))))*EXP(-N(INDEX('2 Phases'!$G$7:$G$12,B112))))),MAX(0,((T111*($G111-$F111)+N('1 Setup'!$F$13)*$F111)/$G111)+('1 Setup'!$H$13*'1 Setup'!$C$13*0.00000024*$H112))))</f>
        <v/>
      </c>
      <c r="U112" s="18" t="str">
        <f aca="false">IF(OR($B112="",U111="",'1 Setup'!$C$14=""),"",IF(AND($C112="Continuous",N(INDEX('2 Phases'!$G$7:$G$12,B112))&gt;0),IF('1 Setup'!$G$14="","",MAX(0,('1 Setup'!$G$14+('1 Setup'!$H$14*'1 Setup'!$C$14*0.00000024*$H112)/N(INDEX('2 Phases'!$G$7:$G$12,B112)))+(((U111*($G111-$F111)+N('1 Setup'!$F$14)*$F111)/$G111)-('1 Setup'!$G$14+('1 Setup'!$H$14*'1 Setup'!$C$14*0.00000024*$H112)/N(INDEX('2 Phases'!$G$7:$G$12,B112))))*EXP(-N(INDEX('2 Phases'!$G$7:$G$12,B112))))),MAX(0,((U111*($G111-$F111)+N('1 Setup'!$F$14)*$F111)/$G111)+('1 Setup'!$H$14*'1 Setup'!$C$14*0.00000024*$H112))))</f>
        <v/>
      </c>
      <c r="V112" s="18" t="str">
        <f aca="false">IF($B112="","",E112/1000000*'1 Setup'!$B$7)</f>
        <v/>
      </c>
      <c r="W112" s="18" t="str">
        <f aca="false">IF($B112="","",V112*G112)</f>
        <v/>
      </c>
      <c r="X112" s="18" t="str">
        <f aca="false">IF($B112="","",P112*'1 Setup'!$B$7/1000000000)</f>
        <v/>
      </c>
      <c r="Y112" s="18" t="str">
        <f aca="false">IF($B112="","",L112*'1 Setup'!$B$7/1000000000)</f>
        <v/>
      </c>
    </row>
    <row r="113" customFormat="false" ht="15" hidden="false" customHeight="false" outlineLevel="0" collapsed="false">
      <c r="A113" s="7" t="n">
        <v>107</v>
      </c>
      <c r="B113" s="7" t="str">
        <f aca="false">IF(A113&gt;'2 Phases'!$D$4,"",IF(A113=0,1,COUNTIF('2 Phases'!$M$7:$M$12,"&lt;"&amp;A113)+1))</f>
        <v/>
      </c>
      <c r="C113" s="7" t="str">
        <f aca="false">IF($B113="","",INDEX('2 Phases'!$C$7:$C$12,B113))</f>
        <v/>
      </c>
      <c r="D113" s="7" t="str">
        <f aca="false">IF($B113="","",A113-INDEX('2 Phases'!$L$7:$L$12,B113))</f>
        <v/>
      </c>
      <c r="E113" s="14" t="str">
        <f aca="false">IF($B113="","",IFERROR(IF(C113="Continuous",INDEX('2 Phases'!$N$7:$N$12,B113)*EXP((INDEX('2 Phases'!$P$7:$P$12,B113)-N(INDEX('2 Phases'!$H$7:$H$12,B113)))*D113),INDEX('2 Phases'!$N$7:$N$12,B113)*(IF(INDEX('2 Phases'!$E$7:$E$12,B113)="",INDEX('2 Phases'!$N$7:$N$12,B113),INDEX('2 Phases'!$E$7:$E$12,B113))/INDEX('2 Phases'!$N$7:$N$12,B113))^(D113/INDEX('2 Phases'!$D$7:$D$12,B113))),""))</f>
        <v/>
      </c>
      <c r="F113" s="15" t="n">
        <f aca="false">IF(OR($B113="",C113&lt;&gt;"Fed-batch",D113=0),0,IFERROR(N(INDEX('3 Feed regimes'!$B$6:$E$35,D113,MATCH(INDEX('2 Phases'!$F$7:$F$12,B113),'3 Feed regimes'!$B$4:$E$4,0)))*'1 Setup'!$B$5/100,0))</f>
        <v>0</v>
      </c>
      <c r="G113" s="15" t="str">
        <f aca="false">IF($B113="","",G112+F113)</f>
        <v/>
      </c>
      <c r="H113" s="14" t="str">
        <f aca="false">IF($B113="","",(E112+E113)/2)</f>
        <v/>
      </c>
      <c r="I113" s="15" t="str">
        <f aca="false">IF($B113="","",IF(C113="Continuous",N(INDEX('2 Phases'!$G$7:$G$12,B113))*G112,0))</f>
        <v/>
      </c>
      <c r="J113" s="15" t="str">
        <f aca="false">IF($B113="","",IF(C113="Continuous",N(INDEX('2 Phases'!$H$7:$H$12,B113))*G112,0))</f>
        <v/>
      </c>
      <c r="K113" s="15" t="str">
        <f aca="false">IF($B113="","",I113-J113)</f>
        <v/>
      </c>
      <c r="L113" s="14" t="str">
        <f aca="false">IF($B113="","",J113*1000*H113)</f>
        <v/>
      </c>
      <c r="M113" s="15" t="str">
        <f aca="false">IF($B113="","",M112+F113+I113)</f>
        <v/>
      </c>
      <c r="N113" s="15" t="str">
        <f aca="false">IF($B113="","",N112+K113)</f>
        <v/>
      </c>
      <c r="O113" s="15" t="str">
        <f aca="false">IF($B113="","",O112+J113)</f>
        <v/>
      </c>
      <c r="P113" s="14" t="str">
        <f aca="false">IF($B113="","",P112+L113)</f>
        <v/>
      </c>
      <c r="Q113" s="18" t="str">
        <f aca="false">IF(OR($B113="",Q112="",'1 Setup'!$C$10=""),"",IF(AND($C113="Continuous",N(INDEX('2 Phases'!$G$7:$G$12,B113))&gt;0),IF('1 Setup'!$G$10="","",MAX(0,('1 Setup'!$G$10+('1 Setup'!$H$10*'1 Setup'!$C$10*0.00000024*$H113)/N(INDEX('2 Phases'!$G$7:$G$12,B113)))+(((Q112*($G112-$F112)+N('1 Setup'!$F$10)*$F112)/$G112)-('1 Setup'!$G$10+('1 Setup'!$H$10*'1 Setup'!$C$10*0.00000024*$H113)/N(INDEX('2 Phases'!$G$7:$G$12,B113))))*EXP(-N(INDEX('2 Phases'!$G$7:$G$12,B113))))),MAX(0,((Q112*($G112-$F112)+N('1 Setup'!$F$10)*$F112)/$G112)+('1 Setup'!$H$10*'1 Setup'!$C$10*0.00000024*$H113))))</f>
        <v/>
      </c>
      <c r="R113" s="18" t="str">
        <f aca="false">IF(OR($B113="",R112="",'1 Setup'!$C$11=""),"",IF(AND($C113="Continuous",N(INDEX('2 Phases'!$G$7:$G$12,B113))&gt;0),IF('1 Setup'!$G$11="","",MAX(0,('1 Setup'!$G$11+('1 Setup'!$H$11*'1 Setup'!$C$11*0.00000024*$H113)/N(INDEX('2 Phases'!$G$7:$G$12,B113)))+(((R112*($G112-$F112)+N('1 Setup'!$F$11)*$F112)/$G112)-('1 Setup'!$G$11+('1 Setup'!$H$11*'1 Setup'!$C$11*0.00000024*$H113)/N(INDEX('2 Phases'!$G$7:$G$12,B113))))*EXP(-N(INDEX('2 Phases'!$G$7:$G$12,B113))))),MAX(0,((R112*($G112-$F112)+N('1 Setup'!$F$11)*$F112)/$G112)+('1 Setup'!$H$11*'1 Setup'!$C$11*0.00000024*$H113))))</f>
        <v/>
      </c>
      <c r="S113" s="18" t="str">
        <f aca="false">IF(OR($B113="",S112="",'1 Setup'!$C$12=""),"",IF(AND($C113="Continuous",N(INDEX('2 Phases'!$G$7:$G$12,B113))&gt;0),IF('1 Setup'!$G$12="","",MAX(0,('1 Setup'!$G$12+('1 Setup'!$H$12*'1 Setup'!$C$12*0.00000024*$H113)/N(INDEX('2 Phases'!$G$7:$G$12,B113)))+(((S112*($G112-$F112)+N('1 Setup'!$F$12)*$F112)/$G112)-('1 Setup'!$G$12+('1 Setup'!$H$12*'1 Setup'!$C$12*0.00000024*$H113)/N(INDEX('2 Phases'!$G$7:$G$12,B113))))*EXP(-N(INDEX('2 Phases'!$G$7:$G$12,B113))))),MAX(0,((S112*($G112-$F112)+N('1 Setup'!$F$12)*$F112)/$G112)+('1 Setup'!$H$12*'1 Setup'!$C$12*0.00000024*$H113))))</f>
        <v/>
      </c>
      <c r="T113" s="18" t="str">
        <f aca="false">IF(OR($B113="",T112="",'1 Setup'!$C$13=""),"",IF(AND($C113="Continuous",N(INDEX('2 Phases'!$G$7:$G$12,B113))&gt;0),IF('1 Setup'!$G$13="","",MAX(0,('1 Setup'!$G$13+('1 Setup'!$H$13*'1 Setup'!$C$13*0.00000024*$H113)/N(INDEX('2 Phases'!$G$7:$G$12,B113)))+(((T112*($G112-$F112)+N('1 Setup'!$F$13)*$F112)/$G112)-('1 Setup'!$G$13+('1 Setup'!$H$13*'1 Setup'!$C$13*0.00000024*$H113)/N(INDEX('2 Phases'!$G$7:$G$12,B113))))*EXP(-N(INDEX('2 Phases'!$G$7:$G$12,B113))))),MAX(0,((T112*($G112-$F112)+N('1 Setup'!$F$13)*$F112)/$G112)+('1 Setup'!$H$13*'1 Setup'!$C$13*0.00000024*$H113))))</f>
        <v/>
      </c>
      <c r="U113" s="18" t="str">
        <f aca="false">IF(OR($B113="",U112="",'1 Setup'!$C$14=""),"",IF(AND($C113="Continuous",N(INDEX('2 Phases'!$G$7:$G$12,B113))&gt;0),IF('1 Setup'!$G$14="","",MAX(0,('1 Setup'!$G$14+('1 Setup'!$H$14*'1 Setup'!$C$14*0.00000024*$H113)/N(INDEX('2 Phases'!$G$7:$G$12,B113)))+(((U112*($G112-$F112)+N('1 Setup'!$F$14)*$F112)/$G112)-('1 Setup'!$G$14+('1 Setup'!$H$14*'1 Setup'!$C$14*0.00000024*$H113)/N(INDEX('2 Phases'!$G$7:$G$12,B113))))*EXP(-N(INDEX('2 Phases'!$G$7:$G$12,B113))))),MAX(0,((U112*($G112-$F112)+N('1 Setup'!$F$14)*$F112)/$G112)+('1 Setup'!$H$14*'1 Setup'!$C$14*0.00000024*$H113))))</f>
        <v/>
      </c>
      <c r="V113" s="18" t="str">
        <f aca="false">IF($B113="","",E113/1000000*'1 Setup'!$B$7)</f>
        <v/>
      </c>
      <c r="W113" s="18" t="str">
        <f aca="false">IF($B113="","",V113*G113)</f>
        <v/>
      </c>
      <c r="X113" s="18" t="str">
        <f aca="false">IF($B113="","",P113*'1 Setup'!$B$7/1000000000)</f>
        <v/>
      </c>
      <c r="Y113" s="18" t="str">
        <f aca="false">IF($B113="","",L113*'1 Setup'!$B$7/1000000000)</f>
        <v/>
      </c>
    </row>
    <row r="114" customFormat="false" ht="15" hidden="false" customHeight="false" outlineLevel="0" collapsed="false">
      <c r="A114" s="7" t="n">
        <v>108</v>
      </c>
      <c r="B114" s="7" t="str">
        <f aca="false">IF(A114&gt;'2 Phases'!$D$4,"",IF(A114=0,1,COUNTIF('2 Phases'!$M$7:$M$12,"&lt;"&amp;A114)+1))</f>
        <v/>
      </c>
      <c r="C114" s="7" t="str">
        <f aca="false">IF($B114="","",INDEX('2 Phases'!$C$7:$C$12,B114))</f>
        <v/>
      </c>
      <c r="D114" s="7" t="str">
        <f aca="false">IF($B114="","",A114-INDEX('2 Phases'!$L$7:$L$12,B114))</f>
        <v/>
      </c>
      <c r="E114" s="14" t="str">
        <f aca="false">IF($B114="","",IFERROR(IF(C114="Continuous",INDEX('2 Phases'!$N$7:$N$12,B114)*EXP((INDEX('2 Phases'!$P$7:$P$12,B114)-N(INDEX('2 Phases'!$H$7:$H$12,B114)))*D114),INDEX('2 Phases'!$N$7:$N$12,B114)*(IF(INDEX('2 Phases'!$E$7:$E$12,B114)="",INDEX('2 Phases'!$N$7:$N$12,B114),INDEX('2 Phases'!$E$7:$E$12,B114))/INDEX('2 Phases'!$N$7:$N$12,B114))^(D114/INDEX('2 Phases'!$D$7:$D$12,B114))),""))</f>
        <v/>
      </c>
      <c r="F114" s="15" t="n">
        <f aca="false">IF(OR($B114="",C114&lt;&gt;"Fed-batch",D114=0),0,IFERROR(N(INDEX('3 Feed regimes'!$B$6:$E$35,D114,MATCH(INDEX('2 Phases'!$F$7:$F$12,B114),'3 Feed regimes'!$B$4:$E$4,0)))*'1 Setup'!$B$5/100,0))</f>
        <v>0</v>
      </c>
      <c r="G114" s="15" t="str">
        <f aca="false">IF($B114="","",G113+F114)</f>
        <v/>
      </c>
      <c r="H114" s="14" t="str">
        <f aca="false">IF($B114="","",(E113+E114)/2)</f>
        <v/>
      </c>
      <c r="I114" s="15" t="str">
        <f aca="false">IF($B114="","",IF(C114="Continuous",N(INDEX('2 Phases'!$G$7:$G$12,B114))*G113,0))</f>
        <v/>
      </c>
      <c r="J114" s="15" t="str">
        <f aca="false">IF($B114="","",IF(C114="Continuous",N(INDEX('2 Phases'!$H$7:$H$12,B114))*G113,0))</f>
        <v/>
      </c>
      <c r="K114" s="15" t="str">
        <f aca="false">IF($B114="","",I114-J114)</f>
        <v/>
      </c>
      <c r="L114" s="14" t="str">
        <f aca="false">IF($B114="","",J114*1000*H114)</f>
        <v/>
      </c>
      <c r="M114" s="15" t="str">
        <f aca="false">IF($B114="","",M113+F114+I114)</f>
        <v/>
      </c>
      <c r="N114" s="15" t="str">
        <f aca="false">IF($B114="","",N113+K114)</f>
        <v/>
      </c>
      <c r="O114" s="15" t="str">
        <f aca="false">IF($B114="","",O113+J114)</f>
        <v/>
      </c>
      <c r="P114" s="14" t="str">
        <f aca="false">IF($B114="","",P113+L114)</f>
        <v/>
      </c>
      <c r="Q114" s="18" t="str">
        <f aca="false">IF(OR($B114="",Q113="",'1 Setup'!$C$10=""),"",IF(AND($C114="Continuous",N(INDEX('2 Phases'!$G$7:$G$12,B114))&gt;0),IF('1 Setup'!$G$10="","",MAX(0,('1 Setup'!$G$10+('1 Setup'!$H$10*'1 Setup'!$C$10*0.00000024*$H114)/N(INDEX('2 Phases'!$G$7:$G$12,B114)))+(((Q113*($G113-$F113)+N('1 Setup'!$F$10)*$F113)/$G113)-('1 Setup'!$G$10+('1 Setup'!$H$10*'1 Setup'!$C$10*0.00000024*$H114)/N(INDEX('2 Phases'!$G$7:$G$12,B114))))*EXP(-N(INDEX('2 Phases'!$G$7:$G$12,B114))))),MAX(0,((Q113*($G113-$F113)+N('1 Setup'!$F$10)*$F113)/$G113)+('1 Setup'!$H$10*'1 Setup'!$C$10*0.00000024*$H114))))</f>
        <v/>
      </c>
      <c r="R114" s="18" t="str">
        <f aca="false">IF(OR($B114="",R113="",'1 Setup'!$C$11=""),"",IF(AND($C114="Continuous",N(INDEX('2 Phases'!$G$7:$G$12,B114))&gt;0),IF('1 Setup'!$G$11="","",MAX(0,('1 Setup'!$G$11+('1 Setup'!$H$11*'1 Setup'!$C$11*0.00000024*$H114)/N(INDEX('2 Phases'!$G$7:$G$12,B114)))+(((R113*($G113-$F113)+N('1 Setup'!$F$11)*$F113)/$G113)-('1 Setup'!$G$11+('1 Setup'!$H$11*'1 Setup'!$C$11*0.00000024*$H114)/N(INDEX('2 Phases'!$G$7:$G$12,B114))))*EXP(-N(INDEX('2 Phases'!$G$7:$G$12,B114))))),MAX(0,((R113*($G113-$F113)+N('1 Setup'!$F$11)*$F113)/$G113)+('1 Setup'!$H$11*'1 Setup'!$C$11*0.00000024*$H114))))</f>
        <v/>
      </c>
      <c r="S114" s="18" t="str">
        <f aca="false">IF(OR($B114="",S113="",'1 Setup'!$C$12=""),"",IF(AND($C114="Continuous",N(INDEX('2 Phases'!$G$7:$G$12,B114))&gt;0),IF('1 Setup'!$G$12="","",MAX(0,('1 Setup'!$G$12+('1 Setup'!$H$12*'1 Setup'!$C$12*0.00000024*$H114)/N(INDEX('2 Phases'!$G$7:$G$12,B114)))+(((S113*($G113-$F113)+N('1 Setup'!$F$12)*$F113)/$G113)-('1 Setup'!$G$12+('1 Setup'!$H$12*'1 Setup'!$C$12*0.00000024*$H114)/N(INDEX('2 Phases'!$G$7:$G$12,B114))))*EXP(-N(INDEX('2 Phases'!$G$7:$G$12,B114))))),MAX(0,((S113*($G113-$F113)+N('1 Setup'!$F$12)*$F113)/$G113)+('1 Setup'!$H$12*'1 Setup'!$C$12*0.00000024*$H114))))</f>
        <v/>
      </c>
      <c r="T114" s="18" t="str">
        <f aca="false">IF(OR($B114="",T113="",'1 Setup'!$C$13=""),"",IF(AND($C114="Continuous",N(INDEX('2 Phases'!$G$7:$G$12,B114))&gt;0),IF('1 Setup'!$G$13="","",MAX(0,('1 Setup'!$G$13+('1 Setup'!$H$13*'1 Setup'!$C$13*0.00000024*$H114)/N(INDEX('2 Phases'!$G$7:$G$12,B114)))+(((T113*($G113-$F113)+N('1 Setup'!$F$13)*$F113)/$G113)-('1 Setup'!$G$13+('1 Setup'!$H$13*'1 Setup'!$C$13*0.00000024*$H114)/N(INDEX('2 Phases'!$G$7:$G$12,B114))))*EXP(-N(INDEX('2 Phases'!$G$7:$G$12,B114))))),MAX(0,((T113*($G113-$F113)+N('1 Setup'!$F$13)*$F113)/$G113)+('1 Setup'!$H$13*'1 Setup'!$C$13*0.00000024*$H114))))</f>
        <v/>
      </c>
      <c r="U114" s="18" t="str">
        <f aca="false">IF(OR($B114="",U113="",'1 Setup'!$C$14=""),"",IF(AND($C114="Continuous",N(INDEX('2 Phases'!$G$7:$G$12,B114))&gt;0),IF('1 Setup'!$G$14="","",MAX(0,('1 Setup'!$G$14+('1 Setup'!$H$14*'1 Setup'!$C$14*0.00000024*$H114)/N(INDEX('2 Phases'!$G$7:$G$12,B114)))+(((U113*($G113-$F113)+N('1 Setup'!$F$14)*$F113)/$G113)-('1 Setup'!$G$14+('1 Setup'!$H$14*'1 Setup'!$C$14*0.00000024*$H114)/N(INDEX('2 Phases'!$G$7:$G$12,B114))))*EXP(-N(INDEX('2 Phases'!$G$7:$G$12,B114))))),MAX(0,((U113*($G113-$F113)+N('1 Setup'!$F$14)*$F113)/$G113)+('1 Setup'!$H$14*'1 Setup'!$C$14*0.00000024*$H114))))</f>
        <v/>
      </c>
      <c r="V114" s="18" t="str">
        <f aca="false">IF($B114="","",E114/1000000*'1 Setup'!$B$7)</f>
        <v/>
      </c>
      <c r="W114" s="18" t="str">
        <f aca="false">IF($B114="","",V114*G114)</f>
        <v/>
      </c>
      <c r="X114" s="18" t="str">
        <f aca="false">IF($B114="","",P114*'1 Setup'!$B$7/1000000000)</f>
        <v/>
      </c>
      <c r="Y114" s="18" t="str">
        <f aca="false">IF($B114="","",L114*'1 Setup'!$B$7/1000000000)</f>
        <v/>
      </c>
    </row>
    <row r="115" customFormat="false" ht="15" hidden="false" customHeight="false" outlineLevel="0" collapsed="false">
      <c r="A115" s="7" t="n">
        <v>109</v>
      </c>
      <c r="B115" s="7" t="str">
        <f aca="false">IF(A115&gt;'2 Phases'!$D$4,"",IF(A115=0,1,COUNTIF('2 Phases'!$M$7:$M$12,"&lt;"&amp;A115)+1))</f>
        <v/>
      </c>
      <c r="C115" s="7" t="str">
        <f aca="false">IF($B115="","",INDEX('2 Phases'!$C$7:$C$12,B115))</f>
        <v/>
      </c>
      <c r="D115" s="7" t="str">
        <f aca="false">IF($B115="","",A115-INDEX('2 Phases'!$L$7:$L$12,B115))</f>
        <v/>
      </c>
      <c r="E115" s="14" t="str">
        <f aca="false">IF($B115="","",IFERROR(IF(C115="Continuous",INDEX('2 Phases'!$N$7:$N$12,B115)*EXP((INDEX('2 Phases'!$P$7:$P$12,B115)-N(INDEX('2 Phases'!$H$7:$H$12,B115)))*D115),INDEX('2 Phases'!$N$7:$N$12,B115)*(IF(INDEX('2 Phases'!$E$7:$E$12,B115)="",INDEX('2 Phases'!$N$7:$N$12,B115),INDEX('2 Phases'!$E$7:$E$12,B115))/INDEX('2 Phases'!$N$7:$N$12,B115))^(D115/INDEX('2 Phases'!$D$7:$D$12,B115))),""))</f>
        <v/>
      </c>
      <c r="F115" s="15" t="n">
        <f aca="false">IF(OR($B115="",C115&lt;&gt;"Fed-batch",D115=0),0,IFERROR(N(INDEX('3 Feed regimes'!$B$6:$E$35,D115,MATCH(INDEX('2 Phases'!$F$7:$F$12,B115),'3 Feed regimes'!$B$4:$E$4,0)))*'1 Setup'!$B$5/100,0))</f>
        <v>0</v>
      </c>
      <c r="G115" s="15" t="str">
        <f aca="false">IF($B115="","",G114+F115)</f>
        <v/>
      </c>
      <c r="H115" s="14" t="str">
        <f aca="false">IF($B115="","",(E114+E115)/2)</f>
        <v/>
      </c>
      <c r="I115" s="15" t="str">
        <f aca="false">IF($B115="","",IF(C115="Continuous",N(INDEX('2 Phases'!$G$7:$G$12,B115))*G114,0))</f>
        <v/>
      </c>
      <c r="J115" s="15" t="str">
        <f aca="false">IF($B115="","",IF(C115="Continuous",N(INDEX('2 Phases'!$H$7:$H$12,B115))*G114,0))</f>
        <v/>
      </c>
      <c r="K115" s="15" t="str">
        <f aca="false">IF($B115="","",I115-J115)</f>
        <v/>
      </c>
      <c r="L115" s="14" t="str">
        <f aca="false">IF($B115="","",J115*1000*H115)</f>
        <v/>
      </c>
      <c r="M115" s="15" t="str">
        <f aca="false">IF($B115="","",M114+F115+I115)</f>
        <v/>
      </c>
      <c r="N115" s="15" t="str">
        <f aca="false">IF($B115="","",N114+K115)</f>
        <v/>
      </c>
      <c r="O115" s="15" t="str">
        <f aca="false">IF($B115="","",O114+J115)</f>
        <v/>
      </c>
      <c r="P115" s="14" t="str">
        <f aca="false">IF($B115="","",P114+L115)</f>
        <v/>
      </c>
      <c r="Q115" s="18" t="str">
        <f aca="false">IF(OR($B115="",Q114="",'1 Setup'!$C$10=""),"",IF(AND($C115="Continuous",N(INDEX('2 Phases'!$G$7:$G$12,B115))&gt;0),IF('1 Setup'!$G$10="","",MAX(0,('1 Setup'!$G$10+('1 Setup'!$H$10*'1 Setup'!$C$10*0.00000024*$H115)/N(INDEX('2 Phases'!$G$7:$G$12,B115)))+(((Q114*($G114-$F114)+N('1 Setup'!$F$10)*$F114)/$G114)-('1 Setup'!$G$10+('1 Setup'!$H$10*'1 Setup'!$C$10*0.00000024*$H115)/N(INDEX('2 Phases'!$G$7:$G$12,B115))))*EXP(-N(INDEX('2 Phases'!$G$7:$G$12,B115))))),MAX(0,((Q114*($G114-$F114)+N('1 Setup'!$F$10)*$F114)/$G114)+('1 Setup'!$H$10*'1 Setup'!$C$10*0.00000024*$H115))))</f>
        <v/>
      </c>
      <c r="R115" s="18" t="str">
        <f aca="false">IF(OR($B115="",R114="",'1 Setup'!$C$11=""),"",IF(AND($C115="Continuous",N(INDEX('2 Phases'!$G$7:$G$12,B115))&gt;0),IF('1 Setup'!$G$11="","",MAX(0,('1 Setup'!$G$11+('1 Setup'!$H$11*'1 Setup'!$C$11*0.00000024*$H115)/N(INDEX('2 Phases'!$G$7:$G$12,B115)))+(((R114*($G114-$F114)+N('1 Setup'!$F$11)*$F114)/$G114)-('1 Setup'!$G$11+('1 Setup'!$H$11*'1 Setup'!$C$11*0.00000024*$H115)/N(INDEX('2 Phases'!$G$7:$G$12,B115))))*EXP(-N(INDEX('2 Phases'!$G$7:$G$12,B115))))),MAX(0,((R114*($G114-$F114)+N('1 Setup'!$F$11)*$F114)/$G114)+('1 Setup'!$H$11*'1 Setup'!$C$11*0.00000024*$H115))))</f>
        <v/>
      </c>
      <c r="S115" s="18" t="str">
        <f aca="false">IF(OR($B115="",S114="",'1 Setup'!$C$12=""),"",IF(AND($C115="Continuous",N(INDEX('2 Phases'!$G$7:$G$12,B115))&gt;0),IF('1 Setup'!$G$12="","",MAX(0,('1 Setup'!$G$12+('1 Setup'!$H$12*'1 Setup'!$C$12*0.00000024*$H115)/N(INDEX('2 Phases'!$G$7:$G$12,B115)))+(((S114*($G114-$F114)+N('1 Setup'!$F$12)*$F114)/$G114)-('1 Setup'!$G$12+('1 Setup'!$H$12*'1 Setup'!$C$12*0.00000024*$H115)/N(INDEX('2 Phases'!$G$7:$G$12,B115))))*EXP(-N(INDEX('2 Phases'!$G$7:$G$12,B115))))),MAX(0,((S114*($G114-$F114)+N('1 Setup'!$F$12)*$F114)/$G114)+('1 Setup'!$H$12*'1 Setup'!$C$12*0.00000024*$H115))))</f>
        <v/>
      </c>
      <c r="T115" s="18" t="str">
        <f aca="false">IF(OR($B115="",T114="",'1 Setup'!$C$13=""),"",IF(AND($C115="Continuous",N(INDEX('2 Phases'!$G$7:$G$12,B115))&gt;0),IF('1 Setup'!$G$13="","",MAX(0,('1 Setup'!$G$13+('1 Setup'!$H$13*'1 Setup'!$C$13*0.00000024*$H115)/N(INDEX('2 Phases'!$G$7:$G$12,B115)))+(((T114*($G114-$F114)+N('1 Setup'!$F$13)*$F114)/$G114)-('1 Setup'!$G$13+('1 Setup'!$H$13*'1 Setup'!$C$13*0.00000024*$H115)/N(INDEX('2 Phases'!$G$7:$G$12,B115))))*EXP(-N(INDEX('2 Phases'!$G$7:$G$12,B115))))),MAX(0,((T114*($G114-$F114)+N('1 Setup'!$F$13)*$F114)/$G114)+('1 Setup'!$H$13*'1 Setup'!$C$13*0.00000024*$H115))))</f>
        <v/>
      </c>
      <c r="U115" s="18" t="str">
        <f aca="false">IF(OR($B115="",U114="",'1 Setup'!$C$14=""),"",IF(AND($C115="Continuous",N(INDEX('2 Phases'!$G$7:$G$12,B115))&gt;0),IF('1 Setup'!$G$14="","",MAX(0,('1 Setup'!$G$14+('1 Setup'!$H$14*'1 Setup'!$C$14*0.00000024*$H115)/N(INDEX('2 Phases'!$G$7:$G$12,B115)))+(((U114*($G114-$F114)+N('1 Setup'!$F$14)*$F114)/$G114)-('1 Setup'!$G$14+('1 Setup'!$H$14*'1 Setup'!$C$14*0.00000024*$H115)/N(INDEX('2 Phases'!$G$7:$G$12,B115))))*EXP(-N(INDEX('2 Phases'!$G$7:$G$12,B115))))),MAX(0,((U114*($G114-$F114)+N('1 Setup'!$F$14)*$F114)/$G114)+('1 Setup'!$H$14*'1 Setup'!$C$14*0.00000024*$H115))))</f>
        <v/>
      </c>
      <c r="V115" s="18" t="str">
        <f aca="false">IF($B115="","",E115/1000000*'1 Setup'!$B$7)</f>
        <v/>
      </c>
      <c r="W115" s="18" t="str">
        <f aca="false">IF($B115="","",V115*G115)</f>
        <v/>
      </c>
      <c r="X115" s="18" t="str">
        <f aca="false">IF($B115="","",P115*'1 Setup'!$B$7/1000000000)</f>
        <v/>
      </c>
      <c r="Y115" s="18" t="str">
        <f aca="false">IF($B115="","",L115*'1 Setup'!$B$7/1000000000)</f>
        <v/>
      </c>
    </row>
    <row r="116" customFormat="false" ht="15" hidden="false" customHeight="false" outlineLevel="0" collapsed="false">
      <c r="A116" s="7" t="n">
        <v>110</v>
      </c>
      <c r="B116" s="7" t="str">
        <f aca="false">IF(A116&gt;'2 Phases'!$D$4,"",IF(A116=0,1,COUNTIF('2 Phases'!$M$7:$M$12,"&lt;"&amp;A116)+1))</f>
        <v/>
      </c>
      <c r="C116" s="7" t="str">
        <f aca="false">IF($B116="","",INDEX('2 Phases'!$C$7:$C$12,B116))</f>
        <v/>
      </c>
      <c r="D116" s="7" t="str">
        <f aca="false">IF($B116="","",A116-INDEX('2 Phases'!$L$7:$L$12,B116))</f>
        <v/>
      </c>
      <c r="E116" s="14" t="str">
        <f aca="false">IF($B116="","",IFERROR(IF(C116="Continuous",INDEX('2 Phases'!$N$7:$N$12,B116)*EXP((INDEX('2 Phases'!$P$7:$P$12,B116)-N(INDEX('2 Phases'!$H$7:$H$12,B116)))*D116),INDEX('2 Phases'!$N$7:$N$12,B116)*(IF(INDEX('2 Phases'!$E$7:$E$12,B116)="",INDEX('2 Phases'!$N$7:$N$12,B116),INDEX('2 Phases'!$E$7:$E$12,B116))/INDEX('2 Phases'!$N$7:$N$12,B116))^(D116/INDEX('2 Phases'!$D$7:$D$12,B116))),""))</f>
        <v/>
      </c>
      <c r="F116" s="15" t="n">
        <f aca="false">IF(OR($B116="",C116&lt;&gt;"Fed-batch",D116=0),0,IFERROR(N(INDEX('3 Feed regimes'!$B$6:$E$35,D116,MATCH(INDEX('2 Phases'!$F$7:$F$12,B116),'3 Feed regimes'!$B$4:$E$4,0)))*'1 Setup'!$B$5/100,0))</f>
        <v>0</v>
      </c>
      <c r="G116" s="15" t="str">
        <f aca="false">IF($B116="","",G115+F116)</f>
        <v/>
      </c>
      <c r="H116" s="14" t="str">
        <f aca="false">IF($B116="","",(E115+E116)/2)</f>
        <v/>
      </c>
      <c r="I116" s="15" t="str">
        <f aca="false">IF($B116="","",IF(C116="Continuous",N(INDEX('2 Phases'!$G$7:$G$12,B116))*G115,0))</f>
        <v/>
      </c>
      <c r="J116" s="15" t="str">
        <f aca="false">IF($B116="","",IF(C116="Continuous",N(INDEX('2 Phases'!$H$7:$H$12,B116))*G115,0))</f>
        <v/>
      </c>
      <c r="K116" s="15" t="str">
        <f aca="false">IF($B116="","",I116-J116)</f>
        <v/>
      </c>
      <c r="L116" s="14" t="str">
        <f aca="false">IF($B116="","",J116*1000*H116)</f>
        <v/>
      </c>
      <c r="M116" s="15" t="str">
        <f aca="false">IF($B116="","",M115+F116+I116)</f>
        <v/>
      </c>
      <c r="N116" s="15" t="str">
        <f aca="false">IF($B116="","",N115+K116)</f>
        <v/>
      </c>
      <c r="O116" s="15" t="str">
        <f aca="false">IF($B116="","",O115+J116)</f>
        <v/>
      </c>
      <c r="P116" s="14" t="str">
        <f aca="false">IF($B116="","",P115+L116)</f>
        <v/>
      </c>
      <c r="Q116" s="18" t="str">
        <f aca="false">IF(OR($B116="",Q115="",'1 Setup'!$C$10=""),"",IF(AND($C116="Continuous",N(INDEX('2 Phases'!$G$7:$G$12,B116))&gt;0),IF('1 Setup'!$G$10="","",MAX(0,('1 Setup'!$G$10+('1 Setup'!$H$10*'1 Setup'!$C$10*0.00000024*$H116)/N(INDEX('2 Phases'!$G$7:$G$12,B116)))+(((Q115*($G115-$F115)+N('1 Setup'!$F$10)*$F115)/$G115)-('1 Setup'!$G$10+('1 Setup'!$H$10*'1 Setup'!$C$10*0.00000024*$H116)/N(INDEX('2 Phases'!$G$7:$G$12,B116))))*EXP(-N(INDEX('2 Phases'!$G$7:$G$12,B116))))),MAX(0,((Q115*($G115-$F115)+N('1 Setup'!$F$10)*$F115)/$G115)+('1 Setup'!$H$10*'1 Setup'!$C$10*0.00000024*$H116))))</f>
        <v/>
      </c>
      <c r="R116" s="18" t="str">
        <f aca="false">IF(OR($B116="",R115="",'1 Setup'!$C$11=""),"",IF(AND($C116="Continuous",N(INDEX('2 Phases'!$G$7:$G$12,B116))&gt;0),IF('1 Setup'!$G$11="","",MAX(0,('1 Setup'!$G$11+('1 Setup'!$H$11*'1 Setup'!$C$11*0.00000024*$H116)/N(INDEX('2 Phases'!$G$7:$G$12,B116)))+(((R115*($G115-$F115)+N('1 Setup'!$F$11)*$F115)/$G115)-('1 Setup'!$G$11+('1 Setup'!$H$11*'1 Setup'!$C$11*0.00000024*$H116)/N(INDEX('2 Phases'!$G$7:$G$12,B116))))*EXP(-N(INDEX('2 Phases'!$G$7:$G$12,B116))))),MAX(0,((R115*($G115-$F115)+N('1 Setup'!$F$11)*$F115)/$G115)+('1 Setup'!$H$11*'1 Setup'!$C$11*0.00000024*$H116))))</f>
        <v/>
      </c>
      <c r="S116" s="18" t="str">
        <f aca="false">IF(OR($B116="",S115="",'1 Setup'!$C$12=""),"",IF(AND($C116="Continuous",N(INDEX('2 Phases'!$G$7:$G$12,B116))&gt;0),IF('1 Setup'!$G$12="","",MAX(0,('1 Setup'!$G$12+('1 Setup'!$H$12*'1 Setup'!$C$12*0.00000024*$H116)/N(INDEX('2 Phases'!$G$7:$G$12,B116)))+(((S115*($G115-$F115)+N('1 Setup'!$F$12)*$F115)/$G115)-('1 Setup'!$G$12+('1 Setup'!$H$12*'1 Setup'!$C$12*0.00000024*$H116)/N(INDEX('2 Phases'!$G$7:$G$12,B116))))*EXP(-N(INDEX('2 Phases'!$G$7:$G$12,B116))))),MAX(0,((S115*($G115-$F115)+N('1 Setup'!$F$12)*$F115)/$G115)+('1 Setup'!$H$12*'1 Setup'!$C$12*0.00000024*$H116))))</f>
        <v/>
      </c>
      <c r="T116" s="18" t="str">
        <f aca="false">IF(OR($B116="",T115="",'1 Setup'!$C$13=""),"",IF(AND($C116="Continuous",N(INDEX('2 Phases'!$G$7:$G$12,B116))&gt;0),IF('1 Setup'!$G$13="","",MAX(0,('1 Setup'!$G$13+('1 Setup'!$H$13*'1 Setup'!$C$13*0.00000024*$H116)/N(INDEX('2 Phases'!$G$7:$G$12,B116)))+(((T115*($G115-$F115)+N('1 Setup'!$F$13)*$F115)/$G115)-('1 Setup'!$G$13+('1 Setup'!$H$13*'1 Setup'!$C$13*0.00000024*$H116)/N(INDEX('2 Phases'!$G$7:$G$12,B116))))*EXP(-N(INDEX('2 Phases'!$G$7:$G$12,B116))))),MAX(0,((T115*($G115-$F115)+N('1 Setup'!$F$13)*$F115)/$G115)+('1 Setup'!$H$13*'1 Setup'!$C$13*0.00000024*$H116))))</f>
        <v/>
      </c>
      <c r="U116" s="18" t="str">
        <f aca="false">IF(OR($B116="",U115="",'1 Setup'!$C$14=""),"",IF(AND($C116="Continuous",N(INDEX('2 Phases'!$G$7:$G$12,B116))&gt;0),IF('1 Setup'!$G$14="","",MAX(0,('1 Setup'!$G$14+('1 Setup'!$H$14*'1 Setup'!$C$14*0.00000024*$H116)/N(INDEX('2 Phases'!$G$7:$G$12,B116)))+(((U115*($G115-$F115)+N('1 Setup'!$F$14)*$F115)/$G115)-('1 Setup'!$G$14+('1 Setup'!$H$14*'1 Setup'!$C$14*0.00000024*$H116)/N(INDEX('2 Phases'!$G$7:$G$12,B116))))*EXP(-N(INDEX('2 Phases'!$G$7:$G$12,B116))))),MAX(0,((U115*($G115-$F115)+N('1 Setup'!$F$14)*$F115)/$G115)+('1 Setup'!$H$14*'1 Setup'!$C$14*0.00000024*$H116))))</f>
        <v/>
      </c>
      <c r="V116" s="18" t="str">
        <f aca="false">IF($B116="","",E116/1000000*'1 Setup'!$B$7)</f>
        <v/>
      </c>
      <c r="W116" s="18" t="str">
        <f aca="false">IF($B116="","",V116*G116)</f>
        <v/>
      </c>
      <c r="X116" s="18" t="str">
        <f aca="false">IF($B116="","",P116*'1 Setup'!$B$7/1000000000)</f>
        <v/>
      </c>
      <c r="Y116" s="18" t="str">
        <f aca="false">IF($B116="","",L116*'1 Setup'!$B$7/1000000000)</f>
        <v/>
      </c>
    </row>
    <row r="117" customFormat="false" ht="15" hidden="false" customHeight="false" outlineLevel="0" collapsed="false">
      <c r="A117" s="7" t="n">
        <v>111</v>
      </c>
      <c r="B117" s="7" t="str">
        <f aca="false">IF(A117&gt;'2 Phases'!$D$4,"",IF(A117=0,1,COUNTIF('2 Phases'!$M$7:$M$12,"&lt;"&amp;A117)+1))</f>
        <v/>
      </c>
      <c r="C117" s="7" t="str">
        <f aca="false">IF($B117="","",INDEX('2 Phases'!$C$7:$C$12,B117))</f>
        <v/>
      </c>
      <c r="D117" s="7" t="str">
        <f aca="false">IF($B117="","",A117-INDEX('2 Phases'!$L$7:$L$12,B117))</f>
        <v/>
      </c>
      <c r="E117" s="14" t="str">
        <f aca="false">IF($B117="","",IFERROR(IF(C117="Continuous",INDEX('2 Phases'!$N$7:$N$12,B117)*EXP((INDEX('2 Phases'!$P$7:$P$12,B117)-N(INDEX('2 Phases'!$H$7:$H$12,B117)))*D117),INDEX('2 Phases'!$N$7:$N$12,B117)*(IF(INDEX('2 Phases'!$E$7:$E$12,B117)="",INDEX('2 Phases'!$N$7:$N$12,B117),INDEX('2 Phases'!$E$7:$E$12,B117))/INDEX('2 Phases'!$N$7:$N$12,B117))^(D117/INDEX('2 Phases'!$D$7:$D$12,B117))),""))</f>
        <v/>
      </c>
      <c r="F117" s="15" t="n">
        <f aca="false">IF(OR($B117="",C117&lt;&gt;"Fed-batch",D117=0),0,IFERROR(N(INDEX('3 Feed regimes'!$B$6:$E$35,D117,MATCH(INDEX('2 Phases'!$F$7:$F$12,B117),'3 Feed regimes'!$B$4:$E$4,0)))*'1 Setup'!$B$5/100,0))</f>
        <v>0</v>
      </c>
      <c r="G117" s="15" t="str">
        <f aca="false">IF($B117="","",G116+F117)</f>
        <v/>
      </c>
      <c r="H117" s="14" t="str">
        <f aca="false">IF($B117="","",(E116+E117)/2)</f>
        <v/>
      </c>
      <c r="I117" s="15" t="str">
        <f aca="false">IF($B117="","",IF(C117="Continuous",N(INDEX('2 Phases'!$G$7:$G$12,B117))*G116,0))</f>
        <v/>
      </c>
      <c r="J117" s="15" t="str">
        <f aca="false">IF($B117="","",IF(C117="Continuous",N(INDEX('2 Phases'!$H$7:$H$12,B117))*G116,0))</f>
        <v/>
      </c>
      <c r="K117" s="15" t="str">
        <f aca="false">IF($B117="","",I117-J117)</f>
        <v/>
      </c>
      <c r="L117" s="14" t="str">
        <f aca="false">IF($B117="","",J117*1000*H117)</f>
        <v/>
      </c>
      <c r="M117" s="15" t="str">
        <f aca="false">IF($B117="","",M116+F117+I117)</f>
        <v/>
      </c>
      <c r="N117" s="15" t="str">
        <f aca="false">IF($B117="","",N116+K117)</f>
        <v/>
      </c>
      <c r="O117" s="15" t="str">
        <f aca="false">IF($B117="","",O116+J117)</f>
        <v/>
      </c>
      <c r="P117" s="14" t="str">
        <f aca="false">IF($B117="","",P116+L117)</f>
        <v/>
      </c>
      <c r="Q117" s="18" t="str">
        <f aca="false">IF(OR($B117="",Q116="",'1 Setup'!$C$10=""),"",IF(AND($C117="Continuous",N(INDEX('2 Phases'!$G$7:$G$12,B117))&gt;0),IF('1 Setup'!$G$10="","",MAX(0,('1 Setup'!$G$10+('1 Setup'!$H$10*'1 Setup'!$C$10*0.00000024*$H117)/N(INDEX('2 Phases'!$G$7:$G$12,B117)))+(((Q116*($G116-$F116)+N('1 Setup'!$F$10)*$F116)/$G116)-('1 Setup'!$G$10+('1 Setup'!$H$10*'1 Setup'!$C$10*0.00000024*$H117)/N(INDEX('2 Phases'!$G$7:$G$12,B117))))*EXP(-N(INDEX('2 Phases'!$G$7:$G$12,B117))))),MAX(0,((Q116*($G116-$F116)+N('1 Setup'!$F$10)*$F116)/$G116)+('1 Setup'!$H$10*'1 Setup'!$C$10*0.00000024*$H117))))</f>
        <v/>
      </c>
      <c r="R117" s="18" t="str">
        <f aca="false">IF(OR($B117="",R116="",'1 Setup'!$C$11=""),"",IF(AND($C117="Continuous",N(INDEX('2 Phases'!$G$7:$G$12,B117))&gt;0),IF('1 Setup'!$G$11="","",MAX(0,('1 Setup'!$G$11+('1 Setup'!$H$11*'1 Setup'!$C$11*0.00000024*$H117)/N(INDEX('2 Phases'!$G$7:$G$12,B117)))+(((R116*($G116-$F116)+N('1 Setup'!$F$11)*$F116)/$G116)-('1 Setup'!$G$11+('1 Setup'!$H$11*'1 Setup'!$C$11*0.00000024*$H117)/N(INDEX('2 Phases'!$G$7:$G$12,B117))))*EXP(-N(INDEX('2 Phases'!$G$7:$G$12,B117))))),MAX(0,((R116*($G116-$F116)+N('1 Setup'!$F$11)*$F116)/$G116)+('1 Setup'!$H$11*'1 Setup'!$C$11*0.00000024*$H117))))</f>
        <v/>
      </c>
      <c r="S117" s="18" t="str">
        <f aca="false">IF(OR($B117="",S116="",'1 Setup'!$C$12=""),"",IF(AND($C117="Continuous",N(INDEX('2 Phases'!$G$7:$G$12,B117))&gt;0),IF('1 Setup'!$G$12="","",MAX(0,('1 Setup'!$G$12+('1 Setup'!$H$12*'1 Setup'!$C$12*0.00000024*$H117)/N(INDEX('2 Phases'!$G$7:$G$12,B117)))+(((S116*($G116-$F116)+N('1 Setup'!$F$12)*$F116)/$G116)-('1 Setup'!$G$12+('1 Setup'!$H$12*'1 Setup'!$C$12*0.00000024*$H117)/N(INDEX('2 Phases'!$G$7:$G$12,B117))))*EXP(-N(INDEX('2 Phases'!$G$7:$G$12,B117))))),MAX(0,((S116*($G116-$F116)+N('1 Setup'!$F$12)*$F116)/$G116)+('1 Setup'!$H$12*'1 Setup'!$C$12*0.00000024*$H117))))</f>
        <v/>
      </c>
      <c r="T117" s="18" t="str">
        <f aca="false">IF(OR($B117="",T116="",'1 Setup'!$C$13=""),"",IF(AND($C117="Continuous",N(INDEX('2 Phases'!$G$7:$G$12,B117))&gt;0),IF('1 Setup'!$G$13="","",MAX(0,('1 Setup'!$G$13+('1 Setup'!$H$13*'1 Setup'!$C$13*0.00000024*$H117)/N(INDEX('2 Phases'!$G$7:$G$12,B117)))+(((T116*($G116-$F116)+N('1 Setup'!$F$13)*$F116)/$G116)-('1 Setup'!$G$13+('1 Setup'!$H$13*'1 Setup'!$C$13*0.00000024*$H117)/N(INDEX('2 Phases'!$G$7:$G$12,B117))))*EXP(-N(INDEX('2 Phases'!$G$7:$G$12,B117))))),MAX(0,((T116*($G116-$F116)+N('1 Setup'!$F$13)*$F116)/$G116)+('1 Setup'!$H$13*'1 Setup'!$C$13*0.00000024*$H117))))</f>
        <v/>
      </c>
      <c r="U117" s="18" t="str">
        <f aca="false">IF(OR($B117="",U116="",'1 Setup'!$C$14=""),"",IF(AND($C117="Continuous",N(INDEX('2 Phases'!$G$7:$G$12,B117))&gt;0),IF('1 Setup'!$G$14="","",MAX(0,('1 Setup'!$G$14+('1 Setup'!$H$14*'1 Setup'!$C$14*0.00000024*$H117)/N(INDEX('2 Phases'!$G$7:$G$12,B117)))+(((U116*($G116-$F116)+N('1 Setup'!$F$14)*$F116)/$G116)-('1 Setup'!$G$14+('1 Setup'!$H$14*'1 Setup'!$C$14*0.00000024*$H117)/N(INDEX('2 Phases'!$G$7:$G$12,B117))))*EXP(-N(INDEX('2 Phases'!$G$7:$G$12,B117))))),MAX(0,((U116*($G116-$F116)+N('1 Setup'!$F$14)*$F116)/$G116)+('1 Setup'!$H$14*'1 Setup'!$C$14*0.00000024*$H117))))</f>
        <v/>
      </c>
      <c r="V117" s="18" t="str">
        <f aca="false">IF($B117="","",E117/1000000*'1 Setup'!$B$7)</f>
        <v/>
      </c>
      <c r="W117" s="18" t="str">
        <f aca="false">IF($B117="","",V117*G117)</f>
        <v/>
      </c>
      <c r="X117" s="18" t="str">
        <f aca="false">IF($B117="","",P117*'1 Setup'!$B$7/1000000000)</f>
        <v/>
      </c>
      <c r="Y117" s="18" t="str">
        <f aca="false">IF($B117="","",L117*'1 Setup'!$B$7/1000000000)</f>
        <v/>
      </c>
    </row>
    <row r="118" customFormat="false" ht="15" hidden="false" customHeight="false" outlineLevel="0" collapsed="false">
      <c r="A118" s="7" t="n">
        <v>112</v>
      </c>
      <c r="B118" s="7" t="str">
        <f aca="false">IF(A118&gt;'2 Phases'!$D$4,"",IF(A118=0,1,COUNTIF('2 Phases'!$M$7:$M$12,"&lt;"&amp;A118)+1))</f>
        <v/>
      </c>
      <c r="C118" s="7" t="str">
        <f aca="false">IF($B118="","",INDEX('2 Phases'!$C$7:$C$12,B118))</f>
        <v/>
      </c>
      <c r="D118" s="7" t="str">
        <f aca="false">IF($B118="","",A118-INDEX('2 Phases'!$L$7:$L$12,B118))</f>
        <v/>
      </c>
      <c r="E118" s="14" t="str">
        <f aca="false">IF($B118="","",IFERROR(IF(C118="Continuous",INDEX('2 Phases'!$N$7:$N$12,B118)*EXP((INDEX('2 Phases'!$P$7:$P$12,B118)-N(INDEX('2 Phases'!$H$7:$H$12,B118)))*D118),INDEX('2 Phases'!$N$7:$N$12,B118)*(IF(INDEX('2 Phases'!$E$7:$E$12,B118)="",INDEX('2 Phases'!$N$7:$N$12,B118),INDEX('2 Phases'!$E$7:$E$12,B118))/INDEX('2 Phases'!$N$7:$N$12,B118))^(D118/INDEX('2 Phases'!$D$7:$D$12,B118))),""))</f>
        <v/>
      </c>
      <c r="F118" s="15" t="n">
        <f aca="false">IF(OR($B118="",C118&lt;&gt;"Fed-batch",D118=0),0,IFERROR(N(INDEX('3 Feed regimes'!$B$6:$E$35,D118,MATCH(INDEX('2 Phases'!$F$7:$F$12,B118),'3 Feed regimes'!$B$4:$E$4,0)))*'1 Setup'!$B$5/100,0))</f>
        <v>0</v>
      </c>
      <c r="G118" s="15" t="str">
        <f aca="false">IF($B118="","",G117+F118)</f>
        <v/>
      </c>
      <c r="H118" s="14" t="str">
        <f aca="false">IF($B118="","",(E117+E118)/2)</f>
        <v/>
      </c>
      <c r="I118" s="15" t="str">
        <f aca="false">IF($B118="","",IF(C118="Continuous",N(INDEX('2 Phases'!$G$7:$G$12,B118))*G117,0))</f>
        <v/>
      </c>
      <c r="J118" s="15" t="str">
        <f aca="false">IF($B118="","",IF(C118="Continuous",N(INDEX('2 Phases'!$H$7:$H$12,B118))*G117,0))</f>
        <v/>
      </c>
      <c r="K118" s="15" t="str">
        <f aca="false">IF($B118="","",I118-J118)</f>
        <v/>
      </c>
      <c r="L118" s="14" t="str">
        <f aca="false">IF($B118="","",J118*1000*H118)</f>
        <v/>
      </c>
      <c r="M118" s="15" t="str">
        <f aca="false">IF($B118="","",M117+F118+I118)</f>
        <v/>
      </c>
      <c r="N118" s="15" t="str">
        <f aca="false">IF($B118="","",N117+K118)</f>
        <v/>
      </c>
      <c r="O118" s="15" t="str">
        <f aca="false">IF($B118="","",O117+J118)</f>
        <v/>
      </c>
      <c r="P118" s="14" t="str">
        <f aca="false">IF($B118="","",P117+L118)</f>
        <v/>
      </c>
      <c r="Q118" s="18" t="str">
        <f aca="false">IF(OR($B118="",Q117="",'1 Setup'!$C$10=""),"",IF(AND($C118="Continuous",N(INDEX('2 Phases'!$G$7:$G$12,B118))&gt;0),IF('1 Setup'!$G$10="","",MAX(0,('1 Setup'!$G$10+('1 Setup'!$H$10*'1 Setup'!$C$10*0.00000024*$H118)/N(INDEX('2 Phases'!$G$7:$G$12,B118)))+(((Q117*($G117-$F117)+N('1 Setup'!$F$10)*$F117)/$G117)-('1 Setup'!$G$10+('1 Setup'!$H$10*'1 Setup'!$C$10*0.00000024*$H118)/N(INDEX('2 Phases'!$G$7:$G$12,B118))))*EXP(-N(INDEX('2 Phases'!$G$7:$G$12,B118))))),MAX(0,((Q117*($G117-$F117)+N('1 Setup'!$F$10)*$F117)/$G117)+('1 Setup'!$H$10*'1 Setup'!$C$10*0.00000024*$H118))))</f>
        <v/>
      </c>
      <c r="R118" s="18" t="str">
        <f aca="false">IF(OR($B118="",R117="",'1 Setup'!$C$11=""),"",IF(AND($C118="Continuous",N(INDEX('2 Phases'!$G$7:$G$12,B118))&gt;0),IF('1 Setup'!$G$11="","",MAX(0,('1 Setup'!$G$11+('1 Setup'!$H$11*'1 Setup'!$C$11*0.00000024*$H118)/N(INDEX('2 Phases'!$G$7:$G$12,B118)))+(((R117*($G117-$F117)+N('1 Setup'!$F$11)*$F117)/$G117)-('1 Setup'!$G$11+('1 Setup'!$H$11*'1 Setup'!$C$11*0.00000024*$H118)/N(INDEX('2 Phases'!$G$7:$G$12,B118))))*EXP(-N(INDEX('2 Phases'!$G$7:$G$12,B118))))),MAX(0,((R117*($G117-$F117)+N('1 Setup'!$F$11)*$F117)/$G117)+('1 Setup'!$H$11*'1 Setup'!$C$11*0.00000024*$H118))))</f>
        <v/>
      </c>
      <c r="S118" s="18" t="str">
        <f aca="false">IF(OR($B118="",S117="",'1 Setup'!$C$12=""),"",IF(AND($C118="Continuous",N(INDEX('2 Phases'!$G$7:$G$12,B118))&gt;0),IF('1 Setup'!$G$12="","",MAX(0,('1 Setup'!$G$12+('1 Setup'!$H$12*'1 Setup'!$C$12*0.00000024*$H118)/N(INDEX('2 Phases'!$G$7:$G$12,B118)))+(((S117*($G117-$F117)+N('1 Setup'!$F$12)*$F117)/$G117)-('1 Setup'!$G$12+('1 Setup'!$H$12*'1 Setup'!$C$12*0.00000024*$H118)/N(INDEX('2 Phases'!$G$7:$G$12,B118))))*EXP(-N(INDEX('2 Phases'!$G$7:$G$12,B118))))),MAX(0,((S117*($G117-$F117)+N('1 Setup'!$F$12)*$F117)/$G117)+('1 Setup'!$H$12*'1 Setup'!$C$12*0.00000024*$H118))))</f>
        <v/>
      </c>
      <c r="T118" s="18" t="str">
        <f aca="false">IF(OR($B118="",T117="",'1 Setup'!$C$13=""),"",IF(AND($C118="Continuous",N(INDEX('2 Phases'!$G$7:$G$12,B118))&gt;0),IF('1 Setup'!$G$13="","",MAX(0,('1 Setup'!$G$13+('1 Setup'!$H$13*'1 Setup'!$C$13*0.00000024*$H118)/N(INDEX('2 Phases'!$G$7:$G$12,B118)))+(((T117*($G117-$F117)+N('1 Setup'!$F$13)*$F117)/$G117)-('1 Setup'!$G$13+('1 Setup'!$H$13*'1 Setup'!$C$13*0.00000024*$H118)/N(INDEX('2 Phases'!$G$7:$G$12,B118))))*EXP(-N(INDEX('2 Phases'!$G$7:$G$12,B118))))),MAX(0,((T117*($G117-$F117)+N('1 Setup'!$F$13)*$F117)/$G117)+('1 Setup'!$H$13*'1 Setup'!$C$13*0.00000024*$H118))))</f>
        <v/>
      </c>
      <c r="U118" s="18" t="str">
        <f aca="false">IF(OR($B118="",U117="",'1 Setup'!$C$14=""),"",IF(AND($C118="Continuous",N(INDEX('2 Phases'!$G$7:$G$12,B118))&gt;0),IF('1 Setup'!$G$14="","",MAX(0,('1 Setup'!$G$14+('1 Setup'!$H$14*'1 Setup'!$C$14*0.00000024*$H118)/N(INDEX('2 Phases'!$G$7:$G$12,B118)))+(((U117*($G117-$F117)+N('1 Setup'!$F$14)*$F117)/$G117)-('1 Setup'!$G$14+('1 Setup'!$H$14*'1 Setup'!$C$14*0.00000024*$H118)/N(INDEX('2 Phases'!$G$7:$G$12,B118))))*EXP(-N(INDEX('2 Phases'!$G$7:$G$12,B118))))),MAX(0,((U117*($G117-$F117)+N('1 Setup'!$F$14)*$F117)/$G117)+('1 Setup'!$H$14*'1 Setup'!$C$14*0.00000024*$H118))))</f>
        <v/>
      </c>
      <c r="V118" s="18" t="str">
        <f aca="false">IF($B118="","",E118/1000000*'1 Setup'!$B$7)</f>
        <v/>
      </c>
      <c r="W118" s="18" t="str">
        <f aca="false">IF($B118="","",V118*G118)</f>
        <v/>
      </c>
      <c r="X118" s="18" t="str">
        <f aca="false">IF($B118="","",P118*'1 Setup'!$B$7/1000000000)</f>
        <v/>
      </c>
      <c r="Y118" s="18" t="str">
        <f aca="false">IF($B118="","",L118*'1 Setup'!$B$7/1000000000)</f>
        <v/>
      </c>
    </row>
    <row r="119" customFormat="false" ht="15" hidden="false" customHeight="false" outlineLevel="0" collapsed="false">
      <c r="A119" s="7" t="n">
        <v>113</v>
      </c>
      <c r="B119" s="7" t="str">
        <f aca="false">IF(A119&gt;'2 Phases'!$D$4,"",IF(A119=0,1,COUNTIF('2 Phases'!$M$7:$M$12,"&lt;"&amp;A119)+1))</f>
        <v/>
      </c>
      <c r="C119" s="7" t="str">
        <f aca="false">IF($B119="","",INDEX('2 Phases'!$C$7:$C$12,B119))</f>
        <v/>
      </c>
      <c r="D119" s="7" t="str">
        <f aca="false">IF($B119="","",A119-INDEX('2 Phases'!$L$7:$L$12,B119))</f>
        <v/>
      </c>
      <c r="E119" s="14" t="str">
        <f aca="false">IF($B119="","",IFERROR(IF(C119="Continuous",INDEX('2 Phases'!$N$7:$N$12,B119)*EXP((INDEX('2 Phases'!$P$7:$P$12,B119)-N(INDEX('2 Phases'!$H$7:$H$12,B119)))*D119),INDEX('2 Phases'!$N$7:$N$12,B119)*(IF(INDEX('2 Phases'!$E$7:$E$12,B119)="",INDEX('2 Phases'!$N$7:$N$12,B119),INDEX('2 Phases'!$E$7:$E$12,B119))/INDEX('2 Phases'!$N$7:$N$12,B119))^(D119/INDEX('2 Phases'!$D$7:$D$12,B119))),""))</f>
        <v/>
      </c>
      <c r="F119" s="15" t="n">
        <f aca="false">IF(OR($B119="",C119&lt;&gt;"Fed-batch",D119=0),0,IFERROR(N(INDEX('3 Feed regimes'!$B$6:$E$35,D119,MATCH(INDEX('2 Phases'!$F$7:$F$12,B119),'3 Feed regimes'!$B$4:$E$4,0)))*'1 Setup'!$B$5/100,0))</f>
        <v>0</v>
      </c>
      <c r="G119" s="15" t="str">
        <f aca="false">IF($B119="","",G118+F119)</f>
        <v/>
      </c>
      <c r="H119" s="14" t="str">
        <f aca="false">IF($B119="","",(E118+E119)/2)</f>
        <v/>
      </c>
      <c r="I119" s="15" t="str">
        <f aca="false">IF($B119="","",IF(C119="Continuous",N(INDEX('2 Phases'!$G$7:$G$12,B119))*G118,0))</f>
        <v/>
      </c>
      <c r="J119" s="15" t="str">
        <f aca="false">IF($B119="","",IF(C119="Continuous",N(INDEX('2 Phases'!$H$7:$H$12,B119))*G118,0))</f>
        <v/>
      </c>
      <c r="K119" s="15" t="str">
        <f aca="false">IF($B119="","",I119-J119)</f>
        <v/>
      </c>
      <c r="L119" s="14" t="str">
        <f aca="false">IF($B119="","",J119*1000*H119)</f>
        <v/>
      </c>
      <c r="M119" s="15" t="str">
        <f aca="false">IF($B119="","",M118+F119+I119)</f>
        <v/>
      </c>
      <c r="N119" s="15" t="str">
        <f aca="false">IF($B119="","",N118+K119)</f>
        <v/>
      </c>
      <c r="O119" s="15" t="str">
        <f aca="false">IF($B119="","",O118+J119)</f>
        <v/>
      </c>
      <c r="P119" s="14" t="str">
        <f aca="false">IF($B119="","",P118+L119)</f>
        <v/>
      </c>
      <c r="Q119" s="18" t="str">
        <f aca="false">IF(OR($B119="",Q118="",'1 Setup'!$C$10=""),"",IF(AND($C119="Continuous",N(INDEX('2 Phases'!$G$7:$G$12,B119))&gt;0),IF('1 Setup'!$G$10="","",MAX(0,('1 Setup'!$G$10+('1 Setup'!$H$10*'1 Setup'!$C$10*0.00000024*$H119)/N(INDEX('2 Phases'!$G$7:$G$12,B119)))+(((Q118*($G118-$F118)+N('1 Setup'!$F$10)*$F118)/$G118)-('1 Setup'!$G$10+('1 Setup'!$H$10*'1 Setup'!$C$10*0.00000024*$H119)/N(INDEX('2 Phases'!$G$7:$G$12,B119))))*EXP(-N(INDEX('2 Phases'!$G$7:$G$12,B119))))),MAX(0,((Q118*($G118-$F118)+N('1 Setup'!$F$10)*$F118)/$G118)+('1 Setup'!$H$10*'1 Setup'!$C$10*0.00000024*$H119))))</f>
        <v/>
      </c>
      <c r="R119" s="18" t="str">
        <f aca="false">IF(OR($B119="",R118="",'1 Setup'!$C$11=""),"",IF(AND($C119="Continuous",N(INDEX('2 Phases'!$G$7:$G$12,B119))&gt;0),IF('1 Setup'!$G$11="","",MAX(0,('1 Setup'!$G$11+('1 Setup'!$H$11*'1 Setup'!$C$11*0.00000024*$H119)/N(INDEX('2 Phases'!$G$7:$G$12,B119)))+(((R118*($G118-$F118)+N('1 Setup'!$F$11)*$F118)/$G118)-('1 Setup'!$G$11+('1 Setup'!$H$11*'1 Setup'!$C$11*0.00000024*$H119)/N(INDEX('2 Phases'!$G$7:$G$12,B119))))*EXP(-N(INDEX('2 Phases'!$G$7:$G$12,B119))))),MAX(0,((R118*($G118-$F118)+N('1 Setup'!$F$11)*$F118)/$G118)+('1 Setup'!$H$11*'1 Setup'!$C$11*0.00000024*$H119))))</f>
        <v/>
      </c>
      <c r="S119" s="18" t="str">
        <f aca="false">IF(OR($B119="",S118="",'1 Setup'!$C$12=""),"",IF(AND($C119="Continuous",N(INDEX('2 Phases'!$G$7:$G$12,B119))&gt;0),IF('1 Setup'!$G$12="","",MAX(0,('1 Setup'!$G$12+('1 Setup'!$H$12*'1 Setup'!$C$12*0.00000024*$H119)/N(INDEX('2 Phases'!$G$7:$G$12,B119)))+(((S118*($G118-$F118)+N('1 Setup'!$F$12)*$F118)/$G118)-('1 Setup'!$G$12+('1 Setup'!$H$12*'1 Setup'!$C$12*0.00000024*$H119)/N(INDEX('2 Phases'!$G$7:$G$12,B119))))*EXP(-N(INDEX('2 Phases'!$G$7:$G$12,B119))))),MAX(0,((S118*($G118-$F118)+N('1 Setup'!$F$12)*$F118)/$G118)+('1 Setup'!$H$12*'1 Setup'!$C$12*0.00000024*$H119))))</f>
        <v/>
      </c>
      <c r="T119" s="18" t="str">
        <f aca="false">IF(OR($B119="",T118="",'1 Setup'!$C$13=""),"",IF(AND($C119="Continuous",N(INDEX('2 Phases'!$G$7:$G$12,B119))&gt;0),IF('1 Setup'!$G$13="","",MAX(0,('1 Setup'!$G$13+('1 Setup'!$H$13*'1 Setup'!$C$13*0.00000024*$H119)/N(INDEX('2 Phases'!$G$7:$G$12,B119)))+(((T118*($G118-$F118)+N('1 Setup'!$F$13)*$F118)/$G118)-('1 Setup'!$G$13+('1 Setup'!$H$13*'1 Setup'!$C$13*0.00000024*$H119)/N(INDEX('2 Phases'!$G$7:$G$12,B119))))*EXP(-N(INDEX('2 Phases'!$G$7:$G$12,B119))))),MAX(0,((T118*($G118-$F118)+N('1 Setup'!$F$13)*$F118)/$G118)+('1 Setup'!$H$13*'1 Setup'!$C$13*0.00000024*$H119))))</f>
        <v/>
      </c>
      <c r="U119" s="18" t="str">
        <f aca="false">IF(OR($B119="",U118="",'1 Setup'!$C$14=""),"",IF(AND($C119="Continuous",N(INDEX('2 Phases'!$G$7:$G$12,B119))&gt;0),IF('1 Setup'!$G$14="","",MAX(0,('1 Setup'!$G$14+('1 Setup'!$H$14*'1 Setup'!$C$14*0.00000024*$H119)/N(INDEX('2 Phases'!$G$7:$G$12,B119)))+(((U118*($G118-$F118)+N('1 Setup'!$F$14)*$F118)/$G118)-('1 Setup'!$G$14+('1 Setup'!$H$14*'1 Setup'!$C$14*0.00000024*$H119)/N(INDEX('2 Phases'!$G$7:$G$12,B119))))*EXP(-N(INDEX('2 Phases'!$G$7:$G$12,B119))))),MAX(0,((U118*($G118-$F118)+N('1 Setup'!$F$14)*$F118)/$G118)+('1 Setup'!$H$14*'1 Setup'!$C$14*0.00000024*$H119))))</f>
        <v/>
      </c>
      <c r="V119" s="18" t="str">
        <f aca="false">IF($B119="","",E119/1000000*'1 Setup'!$B$7)</f>
        <v/>
      </c>
      <c r="W119" s="18" t="str">
        <f aca="false">IF($B119="","",V119*G119)</f>
        <v/>
      </c>
      <c r="X119" s="18" t="str">
        <f aca="false">IF($B119="","",P119*'1 Setup'!$B$7/1000000000)</f>
        <v/>
      </c>
      <c r="Y119" s="18" t="str">
        <f aca="false">IF($B119="","",L119*'1 Setup'!$B$7/1000000000)</f>
        <v/>
      </c>
    </row>
    <row r="120" customFormat="false" ht="15" hidden="false" customHeight="false" outlineLevel="0" collapsed="false">
      <c r="A120" s="7" t="n">
        <v>114</v>
      </c>
      <c r="B120" s="7" t="str">
        <f aca="false">IF(A120&gt;'2 Phases'!$D$4,"",IF(A120=0,1,COUNTIF('2 Phases'!$M$7:$M$12,"&lt;"&amp;A120)+1))</f>
        <v/>
      </c>
      <c r="C120" s="7" t="str">
        <f aca="false">IF($B120="","",INDEX('2 Phases'!$C$7:$C$12,B120))</f>
        <v/>
      </c>
      <c r="D120" s="7" t="str">
        <f aca="false">IF($B120="","",A120-INDEX('2 Phases'!$L$7:$L$12,B120))</f>
        <v/>
      </c>
      <c r="E120" s="14" t="str">
        <f aca="false">IF($B120="","",IFERROR(IF(C120="Continuous",INDEX('2 Phases'!$N$7:$N$12,B120)*EXP((INDEX('2 Phases'!$P$7:$P$12,B120)-N(INDEX('2 Phases'!$H$7:$H$12,B120)))*D120),INDEX('2 Phases'!$N$7:$N$12,B120)*(IF(INDEX('2 Phases'!$E$7:$E$12,B120)="",INDEX('2 Phases'!$N$7:$N$12,B120),INDEX('2 Phases'!$E$7:$E$12,B120))/INDEX('2 Phases'!$N$7:$N$12,B120))^(D120/INDEX('2 Phases'!$D$7:$D$12,B120))),""))</f>
        <v/>
      </c>
      <c r="F120" s="15" t="n">
        <f aca="false">IF(OR($B120="",C120&lt;&gt;"Fed-batch",D120=0),0,IFERROR(N(INDEX('3 Feed regimes'!$B$6:$E$35,D120,MATCH(INDEX('2 Phases'!$F$7:$F$12,B120),'3 Feed regimes'!$B$4:$E$4,0)))*'1 Setup'!$B$5/100,0))</f>
        <v>0</v>
      </c>
      <c r="G120" s="15" t="str">
        <f aca="false">IF($B120="","",G119+F120)</f>
        <v/>
      </c>
      <c r="H120" s="14" t="str">
        <f aca="false">IF($B120="","",(E119+E120)/2)</f>
        <v/>
      </c>
      <c r="I120" s="15" t="str">
        <f aca="false">IF($B120="","",IF(C120="Continuous",N(INDEX('2 Phases'!$G$7:$G$12,B120))*G119,0))</f>
        <v/>
      </c>
      <c r="J120" s="15" t="str">
        <f aca="false">IF($B120="","",IF(C120="Continuous",N(INDEX('2 Phases'!$H$7:$H$12,B120))*G119,0))</f>
        <v/>
      </c>
      <c r="K120" s="15" t="str">
        <f aca="false">IF($B120="","",I120-J120)</f>
        <v/>
      </c>
      <c r="L120" s="14" t="str">
        <f aca="false">IF($B120="","",J120*1000*H120)</f>
        <v/>
      </c>
      <c r="M120" s="15" t="str">
        <f aca="false">IF($B120="","",M119+F120+I120)</f>
        <v/>
      </c>
      <c r="N120" s="15" t="str">
        <f aca="false">IF($B120="","",N119+K120)</f>
        <v/>
      </c>
      <c r="O120" s="15" t="str">
        <f aca="false">IF($B120="","",O119+J120)</f>
        <v/>
      </c>
      <c r="P120" s="14" t="str">
        <f aca="false">IF($B120="","",P119+L120)</f>
        <v/>
      </c>
      <c r="Q120" s="18" t="str">
        <f aca="false">IF(OR($B120="",Q119="",'1 Setup'!$C$10=""),"",IF(AND($C120="Continuous",N(INDEX('2 Phases'!$G$7:$G$12,B120))&gt;0),IF('1 Setup'!$G$10="","",MAX(0,('1 Setup'!$G$10+('1 Setup'!$H$10*'1 Setup'!$C$10*0.00000024*$H120)/N(INDEX('2 Phases'!$G$7:$G$12,B120)))+(((Q119*($G119-$F119)+N('1 Setup'!$F$10)*$F119)/$G119)-('1 Setup'!$G$10+('1 Setup'!$H$10*'1 Setup'!$C$10*0.00000024*$H120)/N(INDEX('2 Phases'!$G$7:$G$12,B120))))*EXP(-N(INDEX('2 Phases'!$G$7:$G$12,B120))))),MAX(0,((Q119*($G119-$F119)+N('1 Setup'!$F$10)*$F119)/$G119)+('1 Setup'!$H$10*'1 Setup'!$C$10*0.00000024*$H120))))</f>
        <v/>
      </c>
      <c r="R120" s="18" t="str">
        <f aca="false">IF(OR($B120="",R119="",'1 Setup'!$C$11=""),"",IF(AND($C120="Continuous",N(INDEX('2 Phases'!$G$7:$G$12,B120))&gt;0),IF('1 Setup'!$G$11="","",MAX(0,('1 Setup'!$G$11+('1 Setup'!$H$11*'1 Setup'!$C$11*0.00000024*$H120)/N(INDEX('2 Phases'!$G$7:$G$12,B120)))+(((R119*($G119-$F119)+N('1 Setup'!$F$11)*$F119)/$G119)-('1 Setup'!$G$11+('1 Setup'!$H$11*'1 Setup'!$C$11*0.00000024*$H120)/N(INDEX('2 Phases'!$G$7:$G$12,B120))))*EXP(-N(INDEX('2 Phases'!$G$7:$G$12,B120))))),MAX(0,((R119*($G119-$F119)+N('1 Setup'!$F$11)*$F119)/$G119)+('1 Setup'!$H$11*'1 Setup'!$C$11*0.00000024*$H120))))</f>
        <v/>
      </c>
      <c r="S120" s="18" t="str">
        <f aca="false">IF(OR($B120="",S119="",'1 Setup'!$C$12=""),"",IF(AND($C120="Continuous",N(INDEX('2 Phases'!$G$7:$G$12,B120))&gt;0),IF('1 Setup'!$G$12="","",MAX(0,('1 Setup'!$G$12+('1 Setup'!$H$12*'1 Setup'!$C$12*0.00000024*$H120)/N(INDEX('2 Phases'!$G$7:$G$12,B120)))+(((S119*($G119-$F119)+N('1 Setup'!$F$12)*$F119)/$G119)-('1 Setup'!$G$12+('1 Setup'!$H$12*'1 Setup'!$C$12*0.00000024*$H120)/N(INDEX('2 Phases'!$G$7:$G$12,B120))))*EXP(-N(INDEX('2 Phases'!$G$7:$G$12,B120))))),MAX(0,((S119*($G119-$F119)+N('1 Setup'!$F$12)*$F119)/$G119)+('1 Setup'!$H$12*'1 Setup'!$C$12*0.00000024*$H120))))</f>
        <v/>
      </c>
      <c r="T120" s="18" t="str">
        <f aca="false">IF(OR($B120="",T119="",'1 Setup'!$C$13=""),"",IF(AND($C120="Continuous",N(INDEX('2 Phases'!$G$7:$G$12,B120))&gt;0),IF('1 Setup'!$G$13="","",MAX(0,('1 Setup'!$G$13+('1 Setup'!$H$13*'1 Setup'!$C$13*0.00000024*$H120)/N(INDEX('2 Phases'!$G$7:$G$12,B120)))+(((T119*($G119-$F119)+N('1 Setup'!$F$13)*$F119)/$G119)-('1 Setup'!$G$13+('1 Setup'!$H$13*'1 Setup'!$C$13*0.00000024*$H120)/N(INDEX('2 Phases'!$G$7:$G$12,B120))))*EXP(-N(INDEX('2 Phases'!$G$7:$G$12,B120))))),MAX(0,((T119*($G119-$F119)+N('1 Setup'!$F$13)*$F119)/$G119)+('1 Setup'!$H$13*'1 Setup'!$C$13*0.00000024*$H120))))</f>
        <v/>
      </c>
      <c r="U120" s="18" t="str">
        <f aca="false">IF(OR($B120="",U119="",'1 Setup'!$C$14=""),"",IF(AND($C120="Continuous",N(INDEX('2 Phases'!$G$7:$G$12,B120))&gt;0),IF('1 Setup'!$G$14="","",MAX(0,('1 Setup'!$G$14+('1 Setup'!$H$14*'1 Setup'!$C$14*0.00000024*$H120)/N(INDEX('2 Phases'!$G$7:$G$12,B120)))+(((U119*($G119-$F119)+N('1 Setup'!$F$14)*$F119)/$G119)-('1 Setup'!$G$14+('1 Setup'!$H$14*'1 Setup'!$C$14*0.00000024*$H120)/N(INDEX('2 Phases'!$G$7:$G$12,B120))))*EXP(-N(INDEX('2 Phases'!$G$7:$G$12,B120))))),MAX(0,((U119*($G119-$F119)+N('1 Setup'!$F$14)*$F119)/$G119)+('1 Setup'!$H$14*'1 Setup'!$C$14*0.00000024*$H120))))</f>
        <v/>
      </c>
      <c r="V120" s="18" t="str">
        <f aca="false">IF($B120="","",E120/1000000*'1 Setup'!$B$7)</f>
        <v/>
      </c>
      <c r="W120" s="18" t="str">
        <f aca="false">IF($B120="","",V120*G120)</f>
        <v/>
      </c>
      <c r="X120" s="18" t="str">
        <f aca="false">IF($B120="","",P120*'1 Setup'!$B$7/1000000000)</f>
        <v/>
      </c>
      <c r="Y120" s="18" t="str">
        <f aca="false">IF($B120="","",L120*'1 Setup'!$B$7/1000000000)</f>
        <v/>
      </c>
    </row>
    <row r="121" customFormat="false" ht="15" hidden="false" customHeight="false" outlineLevel="0" collapsed="false">
      <c r="A121" s="7" t="n">
        <v>115</v>
      </c>
      <c r="B121" s="7" t="str">
        <f aca="false">IF(A121&gt;'2 Phases'!$D$4,"",IF(A121=0,1,COUNTIF('2 Phases'!$M$7:$M$12,"&lt;"&amp;A121)+1))</f>
        <v/>
      </c>
      <c r="C121" s="7" t="str">
        <f aca="false">IF($B121="","",INDEX('2 Phases'!$C$7:$C$12,B121))</f>
        <v/>
      </c>
      <c r="D121" s="7" t="str">
        <f aca="false">IF($B121="","",A121-INDEX('2 Phases'!$L$7:$L$12,B121))</f>
        <v/>
      </c>
      <c r="E121" s="14" t="str">
        <f aca="false">IF($B121="","",IFERROR(IF(C121="Continuous",INDEX('2 Phases'!$N$7:$N$12,B121)*EXP((INDEX('2 Phases'!$P$7:$P$12,B121)-N(INDEX('2 Phases'!$H$7:$H$12,B121)))*D121),INDEX('2 Phases'!$N$7:$N$12,B121)*(IF(INDEX('2 Phases'!$E$7:$E$12,B121)="",INDEX('2 Phases'!$N$7:$N$12,B121),INDEX('2 Phases'!$E$7:$E$12,B121))/INDEX('2 Phases'!$N$7:$N$12,B121))^(D121/INDEX('2 Phases'!$D$7:$D$12,B121))),""))</f>
        <v/>
      </c>
      <c r="F121" s="15" t="n">
        <f aca="false">IF(OR($B121="",C121&lt;&gt;"Fed-batch",D121=0),0,IFERROR(N(INDEX('3 Feed regimes'!$B$6:$E$35,D121,MATCH(INDEX('2 Phases'!$F$7:$F$12,B121),'3 Feed regimes'!$B$4:$E$4,0)))*'1 Setup'!$B$5/100,0))</f>
        <v>0</v>
      </c>
      <c r="G121" s="15" t="str">
        <f aca="false">IF($B121="","",G120+F121)</f>
        <v/>
      </c>
      <c r="H121" s="14" t="str">
        <f aca="false">IF($B121="","",(E120+E121)/2)</f>
        <v/>
      </c>
      <c r="I121" s="15" t="str">
        <f aca="false">IF($B121="","",IF(C121="Continuous",N(INDEX('2 Phases'!$G$7:$G$12,B121))*G120,0))</f>
        <v/>
      </c>
      <c r="J121" s="15" t="str">
        <f aca="false">IF($B121="","",IF(C121="Continuous",N(INDEX('2 Phases'!$H$7:$H$12,B121))*G120,0))</f>
        <v/>
      </c>
      <c r="K121" s="15" t="str">
        <f aca="false">IF($B121="","",I121-J121)</f>
        <v/>
      </c>
      <c r="L121" s="14" t="str">
        <f aca="false">IF($B121="","",J121*1000*H121)</f>
        <v/>
      </c>
      <c r="M121" s="15" t="str">
        <f aca="false">IF($B121="","",M120+F121+I121)</f>
        <v/>
      </c>
      <c r="N121" s="15" t="str">
        <f aca="false">IF($B121="","",N120+K121)</f>
        <v/>
      </c>
      <c r="O121" s="15" t="str">
        <f aca="false">IF($B121="","",O120+J121)</f>
        <v/>
      </c>
      <c r="P121" s="14" t="str">
        <f aca="false">IF($B121="","",P120+L121)</f>
        <v/>
      </c>
      <c r="Q121" s="18" t="str">
        <f aca="false">IF(OR($B121="",Q120="",'1 Setup'!$C$10=""),"",IF(AND($C121="Continuous",N(INDEX('2 Phases'!$G$7:$G$12,B121))&gt;0),IF('1 Setup'!$G$10="","",MAX(0,('1 Setup'!$G$10+('1 Setup'!$H$10*'1 Setup'!$C$10*0.00000024*$H121)/N(INDEX('2 Phases'!$G$7:$G$12,B121)))+(((Q120*($G120-$F120)+N('1 Setup'!$F$10)*$F120)/$G120)-('1 Setup'!$G$10+('1 Setup'!$H$10*'1 Setup'!$C$10*0.00000024*$H121)/N(INDEX('2 Phases'!$G$7:$G$12,B121))))*EXP(-N(INDEX('2 Phases'!$G$7:$G$12,B121))))),MAX(0,((Q120*($G120-$F120)+N('1 Setup'!$F$10)*$F120)/$G120)+('1 Setup'!$H$10*'1 Setup'!$C$10*0.00000024*$H121))))</f>
        <v/>
      </c>
      <c r="R121" s="18" t="str">
        <f aca="false">IF(OR($B121="",R120="",'1 Setup'!$C$11=""),"",IF(AND($C121="Continuous",N(INDEX('2 Phases'!$G$7:$G$12,B121))&gt;0),IF('1 Setup'!$G$11="","",MAX(0,('1 Setup'!$G$11+('1 Setup'!$H$11*'1 Setup'!$C$11*0.00000024*$H121)/N(INDEX('2 Phases'!$G$7:$G$12,B121)))+(((R120*($G120-$F120)+N('1 Setup'!$F$11)*$F120)/$G120)-('1 Setup'!$G$11+('1 Setup'!$H$11*'1 Setup'!$C$11*0.00000024*$H121)/N(INDEX('2 Phases'!$G$7:$G$12,B121))))*EXP(-N(INDEX('2 Phases'!$G$7:$G$12,B121))))),MAX(0,((R120*($G120-$F120)+N('1 Setup'!$F$11)*$F120)/$G120)+('1 Setup'!$H$11*'1 Setup'!$C$11*0.00000024*$H121))))</f>
        <v/>
      </c>
      <c r="S121" s="18" t="str">
        <f aca="false">IF(OR($B121="",S120="",'1 Setup'!$C$12=""),"",IF(AND($C121="Continuous",N(INDEX('2 Phases'!$G$7:$G$12,B121))&gt;0),IF('1 Setup'!$G$12="","",MAX(0,('1 Setup'!$G$12+('1 Setup'!$H$12*'1 Setup'!$C$12*0.00000024*$H121)/N(INDEX('2 Phases'!$G$7:$G$12,B121)))+(((S120*($G120-$F120)+N('1 Setup'!$F$12)*$F120)/$G120)-('1 Setup'!$G$12+('1 Setup'!$H$12*'1 Setup'!$C$12*0.00000024*$H121)/N(INDEX('2 Phases'!$G$7:$G$12,B121))))*EXP(-N(INDEX('2 Phases'!$G$7:$G$12,B121))))),MAX(0,((S120*($G120-$F120)+N('1 Setup'!$F$12)*$F120)/$G120)+('1 Setup'!$H$12*'1 Setup'!$C$12*0.00000024*$H121))))</f>
        <v/>
      </c>
      <c r="T121" s="18" t="str">
        <f aca="false">IF(OR($B121="",T120="",'1 Setup'!$C$13=""),"",IF(AND($C121="Continuous",N(INDEX('2 Phases'!$G$7:$G$12,B121))&gt;0),IF('1 Setup'!$G$13="","",MAX(0,('1 Setup'!$G$13+('1 Setup'!$H$13*'1 Setup'!$C$13*0.00000024*$H121)/N(INDEX('2 Phases'!$G$7:$G$12,B121)))+(((T120*($G120-$F120)+N('1 Setup'!$F$13)*$F120)/$G120)-('1 Setup'!$G$13+('1 Setup'!$H$13*'1 Setup'!$C$13*0.00000024*$H121)/N(INDEX('2 Phases'!$G$7:$G$12,B121))))*EXP(-N(INDEX('2 Phases'!$G$7:$G$12,B121))))),MAX(0,((T120*($G120-$F120)+N('1 Setup'!$F$13)*$F120)/$G120)+('1 Setup'!$H$13*'1 Setup'!$C$13*0.00000024*$H121))))</f>
        <v/>
      </c>
      <c r="U121" s="18" t="str">
        <f aca="false">IF(OR($B121="",U120="",'1 Setup'!$C$14=""),"",IF(AND($C121="Continuous",N(INDEX('2 Phases'!$G$7:$G$12,B121))&gt;0),IF('1 Setup'!$G$14="","",MAX(0,('1 Setup'!$G$14+('1 Setup'!$H$14*'1 Setup'!$C$14*0.00000024*$H121)/N(INDEX('2 Phases'!$G$7:$G$12,B121)))+(((U120*($G120-$F120)+N('1 Setup'!$F$14)*$F120)/$G120)-('1 Setup'!$G$14+('1 Setup'!$H$14*'1 Setup'!$C$14*0.00000024*$H121)/N(INDEX('2 Phases'!$G$7:$G$12,B121))))*EXP(-N(INDEX('2 Phases'!$G$7:$G$12,B121))))),MAX(0,((U120*($G120-$F120)+N('1 Setup'!$F$14)*$F120)/$G120)+('1 Setup'!$H$14*'1 Setup'!$C$14*0.00000024*$H121))))</f>
        <v/>
      </c>
      <c r="V121" s="18" t="str">
        <f aca="false">IF($B121="","",E121/1000000*'1 Setup'!$B$7)</f>
        <v/>
      </c>
      <c r="W121" s="18" t="str">
        <f aca="false">IF($B121="","",V121*G121)</f>
        <v/>
      </c>
      <c r="X121" s="18" t="str">
        <f aca="false">IF($B121="","",P121*'1 Setup'!$B$7/1000000000)</f>
        <v/>
      </c>
      <c r="Y121" s="18" t="str">
        <f aca="false">IF($B121="","",L121*'1 Setup'!$B$7/1000000000)</f>
        <v/>
      </c>
    </row>
    <row r="122" customFormat="false" ht="15" hidden="false" customHeight="false" outlineLevel="0" collapsed="false">
      <c r="A122" s="7" t="n">
        <v>116</v>
      </c>
      <c r="B122" s="7" t="str">
        <f aca="false">IF(A122&gt;'2 Phases'!$D$4,"",IF(A122=0,1,COUNTIF('2 Phases'!$M$7:$M$12,"&lt;"&amp;A122)+1))</f>
        <v/>
      </c>
      <c r="C122" s="7" t="str">
        <f aca="false">IF($B122="","",INDEX('2 Phases'!$C$7:$C$12,B122))</f>
        <v/>
      </c>
      <c r="D122" s="7" t="str">
        <f aca="false">IF($B122="","",A122-INDEX('2 Phases'!$L$7:$L$12,B122))</f>
        <v/>
      </c>
      <c r="E122" s="14" t="str">
        <f aca="false">IF($B122="","",IFERROR(IF(C122="Continuous",INDEX('2 Phases'!$N$7:$N$12,B122)*EXP((INDEX('2 Phases'!$P$7:$P$12,B122)-N(INDEX('2 Phases'!$H$7:$H$12,B122)))*D122),INDEX('2 Phases'!$N$7:$N$12,B122)*(IF(INDEX('2 Phases'!$E$7:$E$12,B122)="",INDEX('2 Phases'!$N$7:$N$12,B122),INDEX('2 Phases'!$E$7:$E$12,B122))/INDEX('2 Phases'!$N$7:$N$12,B122))^(D122/INDEX('2 Phases'!$D$7:$D$12,B122))),""))</f>
        <v/>
      </c>
      <c r="F122" s="15" t="n">
        <f aca="false">IF(OR($B122="",C122&lt;&gt;"Fed-batch",D122=0),0,IFERROR(N(INDEX('3 Feed regimes'!$B$6:$E$35,D122,MATCH(INDEX('2 Phases'!$F$7:$F$12,B122),'3 Feed regimes'!$B$4:$E$4,0)))*'1 Setup'!$B$5/100,0))</f>
        <v>0</v>
      </c>
      <c r="G122" s="15" t="str">
        <f aca="false">IF($B122="","",G121+F122)</f>
        <v/>
      </c>
      <c r="H122" s="14" t="str">
        <f aca="false">IF($B122="","",(E121+E122)/2)</f>
        <v/>
      </c>
      <c r="I122" s="15" t="str">
        <f aca="false">IF($B122="","",IF(C122="Continuous",N(INDEX('2 Phases'!$G$7:$G$12,B122))*G121,0))</f>
        <v/>
      </c>
      <c r="J122" s="15" t="str">
        <f aca="false">IF($B122="","",IF(C122="Continuous",N(INDEX('2 Phases'!$H$7:$H$12,B122))*G121,0))</f>
        <v/>
      </c>
      <c r="K122" s="15" t="str">
        <f aca="false">IF($B122="","",I122-J122)</f>
        <v/>
      </c>
      <c r="L122" s="14" t="str">
        <f aca="false">IF($B122="","",J122*1000*H122)</f>
        <v/>
      </c>
      <c r="M122" s="15" t="str">
        <f aca="false">IF($B122="","",M121+F122+I122)</f>
        <v/>
      </c>
      <c r="N122" s="15" t="str">
        <f aca="false">IF($B122="","",N121+K122)</f>
        <v/>
      </c>
      <c r="O122" s="15" t="str">
        <f aca="false">IF($B122="","",O121+J122)</f>
        <v/>
      </c>
      <c r="P122" s="14" t="str">
        <f aca="false">IF($B122="","",P121+L122)</f>
        <v/>
      </c>
      <c r="Q122" s="18" t="str">
        <f aca="false">IF(OR($B122="",Q121="",'1 Setup'!$C$10=""),"",IF(AND($C122="Continuous",N(INDEX('2 Phases'!$G$7:$G$12,B122))&gt;0),IF('1 Setup'!$G$10="","",MAX(0,('1 Setup'!$G$10+('1 Setup'!$H$10*'1 Setup'!$C$10*0.00000024*$H122)/N(INDEX('2 Phases'!$G$7:$G$12,B122)))+(((Q121*($G121-$F121)+N('1 Setup'!$F$10)*$F121)/$G121)-('1 Setup'!$G$10+('1 Setup'!$H$10*'1 Setup'!$C$10*0.00000024*$H122)/N(INDEX('2 Phases'!$G$7:$G$12,B122))))*EXP(-N(INDEX('2 Phases'!$G$7:$G$12,B122))))),MAX(0,((Q121*($G121-$F121)+N('1 Setup'!$F$10)*$F121)/$G121)+('1 Setup'!$H$10*'1 Setup'!$C$10*0.00000024*$H122))))</f>
        <v/>
      </c>
      <c r="R122" s="18" t="str">
        <f aca="false">IF(OR($B122="",R121="",'1 Setup'!$C$11=""),"",IF(AND($C122="Continuous",N(INDEX('2 Phases'!$G$7:$G$12,B122))&gt;0),IF('1 Setup'!$G$11="","",MAX(0,('1 Setup'!$G$11+('1 Setup'!$H$11*'1 Setup'!$C$11*0.00000024*$H122)/N(INDEX('2 Phases'!$G$7:$G$12,B122)))+(((R121*($G121-$F121)+N('1 Setup'!$F$11)*$F121)/$G121)-('1 Setup'!$G$11+('1 Setup'!$H$11*'1 Setup'!$C$11*0.00000024*$H122)/N(INDEX('2 Phases'!$G$7:$G$12,B122))))*EXP(-N(INDEX('2 Phases'!$G$7:$G$12,B122))))),MAX(0,((R121*($G121-$F121)+N('1 Setup'!$F$11)*$F121)/$G121)+('1 Setup'!$H$11*'1 Setup'!$C$11*0.00000024*$H122))))</f>
        <v/>
      </c>
      <c r="S122" s="18" t="str">
        <f aca="false">IF(OR($B122="",S121="",'1 Setup'!$C$12=""),"",IF(AND($C122="Continuous",N(INDEX('2 Phases'!$G$7:$G$12,B122))&gt;0),IF('1 Setup'!$G$12="","",MAX(0,('1 Setup'!$G$12+('1 Setup'!$H$12*'1 Setup'!$C$12*0.00000024*$H122)/N(INDEX('2 Phases'!$G$7:$G$12,B122)))+(((S121*($G121-$F121)+N('1 Setup'!$F$12)*$F121)/$G121)-('1 Setup'!$G$12+('1 Setup'!$H$12*'1 Setup'!$C$12*0.00000024*$H122)/N(INDEX('2 Phases'!$G$7:$G$12,B122))))*EXP(-N(INDEX('2 Phases'!$G$7:$G$12,B122))))),MAX(0,((S121*($G121-$F121)+N('1 Setup'!$F$12)*$F121)/$G121)+('1 Setup'!$H$12*'1 Setup'!$C$12*0.00000024*$H122))))</f>
        <v/>
      </c>
      <c r="T122" s="18" t="str">
        <f aca="false">IF(OR($B122="",T121="",'1 Setup'!$C$13=""),"",IF(AND($C122="Continuous",N(INDEX('2 Phases'!$G$7:$G$12,B122))&gt;0),IF('1 Setup'!$G$13="","",MAX(0,('1 Setup'!$G$13+('1 Setup'!$H$13*'1 Setup'!$C$13*0.00000024*$H122)/N(INDEX('2 Phases'!$G$7:$G$12,B122)))+(((T121*($G121-$F121)+N('1 Setup'!$F$13)*$F121)/$G121)-('1 Setup'!$G$13+('1 Setup'!$H$13*'1 Setup'!$C$13*0.00000024*$H122)/N(INDEX('2 Phases'!$G$7:$G$12,B122))))*EXP(-N(INDEX('2 Phases'!$G$7:$G$12,B122))))),MAX(0,((T121*($G121-$F121)+N('1 Setup'!$F$13)*$F121)/$G121)+('1 Setup'!$H$13*'1 Setup'!$C$13*0.00000024*$H122))))</f>
        <v/>
      </c>
      <c r="U122" s="18" t="str">
        <f aca="false">IF(OR($B122="",U121="",'1 Setup'!$C$14=""),"",IF(AND($C122="Continuous",N(INDEX('2 Phases'!$G$7:$G$12,B122))&gt;0),IF('1 Setup'!$G$14="","",MAX(0,('1 Setup'!$G$14+('1 Setup'!$H$14*'1 Setup'!$C$14*0.00000024*$H122)/N(INDEX('2 Phases'!$G$7:$G$12,B122)))+(((U121*($G121-$F121)+N('1 Setup'!$F$14)*$F121)/$G121)-('1 Setup'!$G$14+('1 Setup'!$H$14*'1 Setup'!$C$14*0.00000024*$H122)/N(INDEX('2 Phases'!$G$7:$G$12,B122))))*EXP(-N(INDEX('2 Phases'!$G$7:$G$12,B122))))),MAX(0,((U121*($G121-$F121)+N('1 Setup'!$F$14)*$F121)/$G121)+('1 Setup'!$H$14*'1 Setup'!$C$14*0.00000024*$H122))))</f>
        <v/>
      </c>
      <c r="V122" s="18" t="str">
        <f aca="false">IF($B122="","",E122/1000000*'1 Setup'!$B$7)</f>
        <v/>
      </c>
      <c r="W122" s="18" t="str">
        <f aca="false">IF($B122="","",V122*G122)</f>
        <v/>
      </c>
      <c r="X122" s="18" t="str">
        <f aca="false">IF($B122="","",P122*'1 Setup'!$B$7/1000000000)</f>
        <v/>
      </c>
      <c r="Y122" s="18" t="str">
        <f aca="false">IF($B122="","",L122*'1 Setup'!$B$7/1000000000)</f>
        <v/>
      </c>
    </row>
    <row r="123" customFormat="false" ht="15" hidden="false" customHeight="false" outlineLevel="0" collapsed="false">
      <c r="A123" s="7" t="n">
        <v>117</v>
      </c>
      <c r="B123" s="7" t="str">
        <f aca="false">IF(A123&gt;'2 Phases'!$D$4,"",IF(A123=0,1,COUNTIF('2 Phases'!$M$7:$M$12,"&lt;"&amp;A123)+1))</f>
        <v/>
      </c>
      <c r="C123" s="7" t="str">
        <f aca="false">IF($B123="","",INDEX('2 Phases'!$C$7:$C$12,B123))</f>
        <v/>
      </c>
      <c r="D123" s="7" t="str">
        <f aca="false">IF($B123="","",A123-INDEX('2 Phases'!$L$7:$L$12,B123))</f>
        <v/>
      </c>
      <c r="E123" s="14" t="str">
        <f aca="false">IF($B123="","",IFERROR(IF(C123="Continuous",INDEX('2 Phases'!$N$7:$N$12,B123)*EXP((INDEX('2 Phases'!$P$7:$P$12,B123)-N(INDEX('2 Phases'!$H$7:$H$12,B123)))*D123),INDEX('2 Phases'!$N$7:$N$12,B123)*(IF(INDEX('2 Phases'!$E$7:$E$12,B123)="",INDEX('2 Phases'!$N$7:$N$12,B123),INDEX('2 Phases'!$E$7:$E$12,B123))/INDEX('2 Phases'!$N$7:$N$12,B123))^(D123/INDEX('2 Phases'!$D$7:$D$12,B123))),""))</f>
        <v/>
      </c>
      <c r="F123" s="15" t="n">
        <f aca="false">IF(OR($B123="",C123&lt;&gt;"Fed-batch",D123=0),0,IFERROR(N(INDEX('3 Feed regimes'!$B$6:$E$35,D123,MATCH(INDEX('2 Phases'!$F$7:$F$12,B123),'3 Feed regimes'!$B$4:$E$4,0)))*'1 Setup'!$B$5/100,0))</f>
        <v>0</v>
      </c>
      <c r="G123" s="15" t="str">
        <f aca="false">IF($B123="","",G122+F123)</f>
        <v/>
      </c>
      <c r="H123" s="14" t="str">
        <f aca="false">IF($B123="","",(E122+E123)/2)</f>
        <v/>
      </c>
      <c r="I123" s="15" t="str">
        <f aca="false">IF($B123="","",IF(C123="Continuous",N(INDEX('2 Phases'!$G$7:$G$12,B123))*G122,0))</f>
        <v/>
      </c>
      <c r="J123" s="15" t="str">
        <f aca="false">IF($B123="","",IF(C123="Continuous",N(INDEX('2 Phases'!$H$7:$H$12,B123))*G122,0))</f>
        <v/>
      </c>
      <c r="K123" s="15" t="str">
        <f aca="false">IF($B123="","",I123-J123)</f>
        <v/>
      </c>
      <c r="L123" s="14" t="str">
        <f aca="false">IF($B123="","",J123*1000*H123)</f>
        <v/>
      </c>
      <c r="M123" s="15" t="str">
        <f aca="false">IF($B123="","",M122+F123+I123)</f>
        <v/>
      </c>
      <c r="N123" s="15" t="str">
        <f aca="false">IF($B123="","",N122+K123)</f>
        <v/>
      </c>
      <c r="O123" s="15" t="str">
        <f aca="false">IF($B123="","",O122+J123)</f>
        <v/>
      </c>
      <c r="P123" s="14" t="str">
        <f aca="false">IF($B123="","",P122+L123)</f>
        <v/>
      </c>
      <c r="Q123" s="18" t="str">
        <f aca="false">IF(OR($B123="",Q122="",'1 Setup'!$C$10=""),"",IF(AND($C123="Continuous",N(INDEX('2 Phases'!$G$7:$G$12,B123))&gt;0),IF('1 Setup'!$G$10="","",MAX(0,('1 Setup'!$G$10+('1 Setup'!$H$10*'1 Setup'!$C$10*0.00000024*$H123)/N(INDEX('2 Phases'!$G$7:$G$12,B123)))+(((Q122*($G122-$F122)+N('1 Setup'!$F$10)*$F122)/$G122)-('1 Setup'!$G$10+('1 Setup'!$H$10*'1 Setup'!$C$10*0.00000024*$H123)/N(INDEX('2 Phases'!$G$7:$G$12,B123))))*EXP(-N(INDEX('2 Phases'!$G$7:$G$12,B123))))),MAX(0,((Q122*($G122-$F122)+N('1 Setup'!$F$10)*$F122)/$G122)+('1 Setup'!$H$10*'1 Setup'!$C$10*0.00000024*$H123))))</f>
        <v/>
      </c>
      <c r="R123" s="18" t="str">
        <f aca="false">IF(OR($B123="",R122="",'1 Setup'!$C$11=""),"",IF(AND($C123="Continuous",N(INDEX('2 Phases'!$G$7:$G$12,B123))&gt;0),IF('1 Setup'!$G$11="","",MAX(0,('1 Setup'!$G$11+('1 Setup'!$H$11*'1 Setup'!$C$11*0.00000024*$H123)/N(INDEX('2 Phases'!$G$7:$G$12,B123)))+(((R122*($G122-$F122)+N('1 Setup'!$F$11)*$F122)/$G122)-('1 Setup'!$G$11+('1 Setup'!$H$11*'1 Setup'!$C$11*0.00000024*$H123)/N(INDEX('2 Phases'!$G$7:$G$12,B123))))*EXP(-N(INDEX('2 Phases'!$G$7:$G$12,B123))))),MAX(0,((R122*($G122-$F122)+N('1 Setup'!$F$11)*$F122)/$G122)+('1 Setup'!$H$11*'1 Setup'!$C$11*0.00000024*$H123))))</f>
        <v/>
      </c>
      <c r="S123" s="18" t="str">
        <f aca="false">IF(OR($B123="",S122="",'1 Setup'!$C$12=""),"",IF(AND($C123="Continuous",N(INDEX('2 Phases'!$G$7:$G$12,B123))&gt;0),IF('1 Setup'!$G$12="","",MAX(0,('1 Setup'!$G$12+('1 Setup'!$H$12*'1 Setup'!$C$12*0.00000024*$H123)/N(INDEX('2 Phases'!$G$7:$G$12,B123)))+(((S122*($G122-$F122)+N('1 Setup'!$F$12)*$F122)/$G122)-('1 Setup'!$G$12+('1 Setup'!$H$12*'1 Setup'!$C$12*0.00000024*$H123)/N(INDEX('2 Phases'!$G$7:$G$12,B123))))*EXP(-N(INDEX('2 Phases'!$G$7:$G$12,B123))))),MAX(0,((S122*($G122-$F122)+N('1 Setup'!$F$12)*$F122)/$G122)+('1 Setup'!$H$12*'1 Setup'!$C$12*0.00000024*$H123))))</f>
        <v/>
      </c>
      <c r="T123" s="18" t="str">
        <f aca="false">IF(OR($B123="",T122="",'1 Setup'!$C$13=""),"",IF(AND($C123="Continuous",N(INDEX('2 Phases'!$G$7:$G$12,B123))&gt;0),IF('1 Setup'!$G$13="","",MAX(0,('1 Setup'!$G$13+('1 Setup'!$H$13*'1 Setup'!$C$13*0.00000024*$H123)/N(INDEX('2 Phases'!$G$7:$G$12,B123)))+(((T122*($G122-$F122)+N('1 Setup'!$F$13)*$F122)/$G122)-('1 Setup'!$G$13+('1 Setup'!$H$13*'1 Setup'!$C$13*0.00000024*$H123)/N(INDEX('2 Phases'!$G$7:$G$12,B123))))*EXP(-N(INDEX('2 Phases'!$G$7:$G$12,B123))))),MAX(0,((T122*($G122-$F122)+N('1 Setup'!$F$13)*$F122)/$G122)+('1 Setup'!$H$13*'1 Setup'!$C$13*0.00000024*$H123))))</f>
        <v/>
      </c>
      <c r="U123" s="18" t="str">
        <f aca="false">IF(OR($B123="",U122="",'1 Setup'!$C$14=""),"",IF(AND($C123="Continuous",N(INDEX('2 Phases'!$G$7:$G$12,B123))&gt;0),IF('1 Setup'!$G$14="","",MAX(0,('1 Setup'!$G$14+('1 Setup'!$H$14*'1 Setup'!$C$14*0.00000024*$H123)/N(INDEX('2 Phases'!$G$7:$G$12,B123)))+(((U122*($G122-$F122)+N('1 Setup'!$F$14)*$F122)/$G122)-('1 Setup'!$G$14+('1 Setup'!$H$14*'1 Setup'!$C$14*0.00000024*$H123)/N(INDEX('2 Phases'!$G$7:$G$12,B123))))*EXP(-N(INDEX('2 Phases'!$G$7:$G$12,B123))))),MAX(0,((U122*($G122-$F122)+N('1 Setup'!$F$14)*$F122)/$G122)+('1 Setup'!$H$14*'1 Setup'!$C$14*0.00000024*$H123))))</f>
        <v/>
      </c>
      <c r="V123" s="18" t="str">
        <f aca="false">IF($B123="","",E123/1000000*'1 Setup'!$B$7)</f>
        <v/>
      </c>
      <c r="W123" s="18" t="str">
        <f aca="false">IF($B123="","",V123*G123)</f>
        <v/>
      </c>
      <c r="X123" s="18" t="str">
        <f aca="false">IF($B123="","",P123*'1 Setup'!$B$7/1000000000)</f>
        <v/>
      </c>
      <c r="Y123" s="18" t="str">
        <f aca="false">IF($B123="","",L123*'1 Setup'!$B$7/1000000000)</f>
        <v/>
      </c>
    </row>
    <row r="124" customFormat="false" ht="15" hidden="false" customHeight="false" outlineLevel="0" collapsed="false">
      <c r="A124" s="7" t="n">
        <v>118</v>
      </c>
      <c r="B124" s="7" t="str">
        <f aca="false">IF(A124&gt;'2 Phases'!$D$4,"",IF(A124=0,1,COUNTIF('2 Phases'!$M$7:$M$12,"&lt;"&amp;A124)+1))</f>
        <v/>
      </c>
      <c r="C124" s="7" t="str">
        <f aca="false">IF($B124="","",INDEX('2 Phases'!$C$7:$C$12,B124))</f>
        <v/>
      </c>
      <c r="D124" s="7" t="str">
        <f aca="false">IF($B124="","",A124-INDEX('2 Phases'!$L$7:$L$12,B124))</f>
        <v/>
      </c>
      <c r="E124" s="14" t="str">
        <f aca="false">IF($B124="","",IFERROR(IF(C124="Continuous",INDEX('2 Phases'!$N$7:$N$12,B124)*EXP((INDEX('2 Phases'!$P$7:$P$12,B124)-N(INDEX('2 Phases'!$H$7:$H$12,B124)))*D124),INDEX('2 Phases'!$N$7:$N$12,B124)*(IF(INDEX('2 Phases'!$E$7:$E$12,B124)="",INDEX('2 Phases'!$N$7:$N$12,B124),INDEX('2 Phases'!$E$7:$E$12,B124))/INDEX('2 Phases'!$N$7:$N$12,B124))^(D124/INDEX('2 Phases'!$D$7:$D$12,B124))),""))</f>
        <v/>
      </c>
      <c r="F124" s="15" t="n">
        <f aca="false">IF(OR($B124="",C124&lt;&gt;"Fed-batch",D124=0),0,IFERROR(N(INDEX('3 Feed regimes'!$B$6:$E$35,D124,MATCH(INDEX('2 Phases'!$F$7:$F$12,B124),'3 Feed regimes'!$B$4:$E$4,0)))*'1 Setup'!$B$5/100,0))</f>
        <v>0</v>
      </c>
      <c r="G124" s="15" t="str">
        <f aca="false">IF($B124="","",G123+F124)</f>
        <v/>
      </c>
      <c r="H124" s="14" t="str">
        <f aca="false">IF($B124="","",(E123+E124)/2)</f>
        <v/>
      </c>
      <c r="I124" s="15" t="str">
        <f aca="false">IF($B124="","",IF(C124="Continuous",N(INDEX('2 Phases'!$G$7:$G$12,B124))*G123,0))</f>
        <v/>
      </c>
      <c r="J124" s="15" t="str">
        <f aca="false">IF($B124="","",IF(C124="Continuous",N(INDEX('2 Phases'!$H$7:$H$12,B124))*G123,0))</f>
        <v/>
      </c>
      <c r="K124" s="15" t="str">
        <f aca="false">IF($B124="","",I124-J124)</f>
        <v/>
      </c>
      <c r="L124" s="14" t="str">
        <f aca="false">IF($B124="","",J124*1000*H124)</f>
        <v/>
      </c>
      <c r="M124" s="15" t="str">
        <f aca="false">IF($B124="","",M123+F124+I124)</f>
        <v/>
      </c>
      <c r="N124" s="15" t="str">
        <f aca="false">IF($B124="","",N123+K124)</f>
        <v/>
      </c>
      <c r="O124" s="15" t="str">
        <f aca="false">IF($B124="","",O123+J124)</f>
        <v/>
      </c>
      <c r="P124" s="14" t="str">
        <f aca="false">IF($B124="","",P123+L124)</f>
        <v/>
      </c>
      <c r="Q124" s="18" t="str">
        <f aca="false">IF(OR($B124="",Q123="",'1 Setup'!$C$10=""),"",IF(AND($C124="Continuous",N(INDEX('2 Phases'!$G$7:$G$12,B124))&gt;0),IF('1 Setup'!$G$10="","",MAX(0,('1 Setup'!$G$10+('1 Setup'!$H$10*'1 Setup'!$C$10*0.00000024*$H124)/N(INDEX('2 Phases'!$G$7:$G$12,B124)))+(((Q123*($G123-$F123)+N('1 Setup'!$F$10)*$F123)/$G123)-('1 Setup'!$G$10+('1 Setup'!$H$10*'1 Setup'!$C$10*0.00000024*$H124)/N(INDEX('2 Phases'!$G$7:$G$12,B124))))*EXP(-N(INDEX('2 Phases'!$G$7:$G$12,B124))))),MAX(0,((Q123*($G123-$F123)+N('1 Setup'!$F$10)*$F123)/$G123)+('1 Setup'!$H$10*'1 Setup'!$C$10*0.00000024*$H124))))</f>
        <v/>
      </c>
      <c r="R124" s="18" t="str">
        <f aca="false">IF(OR($B124="",R123="",'1 Setup'!$C$11=""),"",IF(AND($C124="Continuous",N(INDEX('2 Phases'!$G$7:$G$12,B124))&gt;0),IF('1 Setup'!$G$11="","",MAX(0,('1 Setup'!$G$11+('1 Setup'!$H$11*'1 Setup'!$C$11*0.00000024*$H124)/N(INDEX('2 Phases'!$G$7:$G$12,B124)))+(((R123*($G123-$F123)+N('1 Setup'!$F$11)*$F123)/$G123)-('1 Setup'!$G$11+('1 Setup'!$H$11*'1 Setup'!$C$11*0.00000024*$H124)/N(INDEX('2 Phases'!$G$7:$G$12,B124))))*EXP(-N(INDEX('2 Phases'!$G$7:$G$12,B124))))),MAX(0,((R123*($G123-$F123)+N('1 Setup'!$F$11)*$F123)/$G123)+('1 Setup'!$H$11*'1 Setup'!$C$11*0.00000024*$H124))))</f>
        <v/>
      </c>
      <c r="S124" s="18" t="str">
        <f aca="false">IF(OR($B124="",S123="",'1 Setup'!$C$12=""),"",IF(AND($C124="Continuous",N(INDEX('2 Phases'!$G$7:$G$12,B124))&gt;0),IF('1 Setup'!$G$12="","",MAX(0,('1 Setup'!$G$12+('1 Setup'!$H$12*'1 Setup'!$C$12*0.00000024*$H124)/N(INDEX('2 Phases'!$G$7:$G$12,B124)))+(((S123*($G123-$F123)+N('1 Setup'!$F$12)*$F123)/$G123)-('1 Setup'!$G$12+('1 Setup'!$H$12*'1 Setup'!$C$12*0.00000024*$H124)/N(INDEX('2 Phases'!$G$7:$G$12,B124))))*EXP(-N(INDEX('2 Phases'!$G$7:$G$12,B124))))),MAX(0,((S123*($G123-$F123)+N('1 Setup'!$F$12)*$F123)/$G123)+('1 Setup'!$H$12*'1 Setup'!$C$12*0.00000024*$H124))))</f>
        <v/>
      </c>
      <c r="T124" s="18" t="str">
        <f aca="false">IF(OR($B124="",T123="",'1 Setup'!$C$13=""),"",IF(AND($C124="Continuous",N(INDEX('2 Phases'!$G$7:$G$12,B124))&gt;0),IF('1 Setup'!$G$13="","",MAX(0,('1 Setup'!$G$13+('1 Setup'!$H$13*'1 Setup'!$C$13*0.00000024*$H124)/N(INDEX('2 Phases'!$G$7:$G$12,B124)))+(((T123*($G123-$F123)+N('1 Setup'!$F$13)*$F123)/$G123)-('1 Setup'!$G$13+('1 Setup'!$H$13*'1 Setup'!$C$13*0.00000024*$H124)/N(INDEX('2 Phases'!$G$7:$G$12,B124))))*EXP(-N(INDEX('2 Phases'!$G$7:$G$12,B124))))),MAX(0,((T123*($G123-$F123)+N('1 Setup'!$F$13)*$F123)/$G123)+('1 Setup'!$H$13*'1 Setup'!$C$13*0.00000024*$H124))))</f>
        <v/>
      </c>
      <c r="U124" s="18" t="str">
        <f aca="false">IF(OR($B124="",U123="",'1 Setup'!$C$14=""),"",IF(AND($C124="Continuous",N(INDEX('2 Phases'!$G$7:$G$12,B124))&gt;0),IF('1 Setup'!$G$14="","",MAX(0,('1 Setup'!$G$14+('1 Setup'!$H$14*'1 Setup'!$C$14*0.00000024*$H124)/N(INDEX('2 Phases'!$G$7:$G$12,B124)))+(((U123*($G123-$F123)+N('1 Setup'!$F$14)*$F123)/$G123)-('1 Setup'!$G$14+('1 Setup'!$H$14*'1 Setup'!$C$14*0.00000024*$H124)/N(INDEX('2 Phases'!$G$7:$G$12,B124))))*EXP(-N(INDEX('2 Phases'!$G$7:$G$12,B124))))),MAX(0,((U123*($G123-$F123)+N('1 Setup'!$F$14)*$F123)/$G123)+('1 Setup'!$H$14*'1 Setup'!$C$14*0.00000024*$H124))))</f>
        <v/>
      </c>
      <c r="V124" s="18" t="str">
        <f aca="false">IF($B124="","",E124/1000000*'1 Setup'!$B$7)</f>
        <v/>
      </c>
      <c r="W124" s="18" t="str">
        <f aca="false">IF($B124="","",V124*G124)</f>
        <v/>
      </c>
      <c r="X124" s="18" t="str">
        <f aca="false">IF($B124="","",P124*'1 Setup'!$B$7/1000000000)</f>
        <v/>
      </c>
      <c r="Y124" s="18" t="str">
        <f aca="false">IF($B124="","",L124*'1 Setup'!$B$7/1000000000)</f>
        <v/>
      </c>
    </row>
    <row r="125" customFormat="false" ht="15" hidden="false" customHeight="false" outlineLevel="0" collapsed="false">
      <c r="A125" s="7" t="n">
        <v>119</v>
      </c>
      <c r="B125" s="7" t="str">
        <f aca="false">IF(A125&gt;'2 Phases'!$D$4,"",IF(A125=0,1,COUNTIF('2 Phases'!$M$7:$M$12,"&lt;"&amp;A125)+1))</f>
        <v/>
      </c>
      <c r="C125" s="7" t="str">
        <f aca="false">IF($B125="","",INDEX('2 Phases'!$C$7:$C$12,B125))</f>
        <v/>
      </c>
      <c r="D125" s="7" t="str">
        <f aca="false">IF($B125="","",A125-INDEX('2 Phases'!$L$7:$L$12,B125))</f>
        <v/>
      </c>
      <c r="E125" s="14" t="str">
        <f aca="false">IF($B125="","",IFERROR(IF(C125="Continuous",INDEX('2 Phases'!$N$7:$N$12,B125)*EXP((INDEX('2 Phases'!$P$7:$P$12,B125)-N(INDEX('2 Phases'!$H$7:$H$12,B125)))*D125),INDEX('2 Phases'!$N$7:$N$12,B125)*(IF(INDEX('2 Phases'!$E$7:$E$12,B125)="",INDEX('2 Phases'!$N$7:$N$12,B125),INDEX('2 Phases'!$E$7:$E$12,B125))/INDEX('2 Phases'!$N$7:$N$12,B125))^(D125/INDEX('2 Phases'!$D$7:$D$12,B125))),""))</f>
        <v/>
      </c>
      <c r="F125" s="15" t="n">
        <f aca="false">IF(OR($B125="",C125&lt;&gt;"Fed-batch",D125=0),0,IFERROR(N(INDEX('3 Feed regimes'!$B$6:$E$35,D125,MATCH(INDEX('2 Phases'!$F$7:$F$12,B125),'3 Feed regimes'!$B$4:$E$4,0)))*'1 Setup'!$B$5/100,0))</f>
        <v>0</v>
      </c>
      <c r="G125" s="15" t="str">
        <f aca="false">IF($B125="","",G124+F125)</f>
        <v/>
      </c>
      <c r="H125" s="14" t="str">
        <f aca="false">IF($B125="","",(E124+E125)/2)</f>
        <v/>
      </c>
      <c r="I125" s="15" t="str">
        <f aca="false">IF($B125="","",IF(C125="Continuous",N(INDEX('2 Phases'!$G$7:$G$12,B125))*G124,0))</f>
        <v/>
      </c>
      <c r="J125" s="15" t="str">
        <f aca="false">IF($B125="","",IF(C125="Continuous",N(INDEX('2 Phases'!$H$7:$H$12,B125))*G124,0))</f>
        <v/>
      </c>
      <c r="K125" s="15" t="str">
        <f aca="false">IF($B125="","",I125-J125)</f>
        <v/>
      </c>
      <c r="L125" s="14" t="str">
        <f aca="false">IF($B125="","",J125*1000*H125)</f>
        <v/>
      </c>
      <c r="M125" s="15" t="str">
        <f aca="false">IF($B125="","",M124+F125+I125)</f>
        <v/>
      </c>
      <c r="N125" s="15" t="str">
        <f aca="false">IF($B125="","",N124+K125)</f>
        <v/>
      </c>
      <c r="O125" s="15" t="str">
        <f aca="false">IF($B125="","",O124+J125)</f>
        <v/>
      </c>
      <c r="P125" s="14" t="str">
        <f aca="false">IF($B125="","",P124+L125)</f>
        <v/>
      </c>
      <c r="Q125" s="18" t="str">
        <f aca="false">IF(OR($B125="",Q124="",'1 Setup'!$C$10=""),"",IF(AND($C125="Continuous",N(INDEX('2 Phases'!$G$7:$G$12,B125))&gt;0),IF('1 Setup'!$G$10="","",MAX(0,('1 Setup'!$G$10+('1 Setup'!$H$10*'1 Setup'!$C$10*0.00000024*$H125)/N(INDEX('2 Phases'!$G$7:$G$12,B125)))+(((Q124*($G124-$F124)+N('1 Setup'!$F$10)*$F124)/$G124)-('1 Setup'!$G$10+('1 Setup'!$H$10*'1 Setup'!$C$10*0.00000024*$H125)/N(INDEX('2 Phases'!$G$7:$G$12,B125))))*EXP(-N(INDEX('2 Phases'!$G$7:$G$12,B125))))),MAX(0,((Q124*($G124-$F124)+N('1 Setup'!$F$10)*$F124)/$G124)+('1 Setup'!$H$10*'1 Setup'!$C$10*0.00000024*$H125))))</f>
        <v/>
      </c>
      <c r="R125" s="18" t="str">
        <f aca="false">IF(OR($B125="",R124="",'1 Setup'!$C$11=""),"",IF(AND($C125="Continuous",N(INDEX('2 Phases'!$G$7:$G$12,B125))&gt;0),IF('1 Setup'!$G$11="","",MAX(0,('1 Setup'!$G$11+('1 Setup'!$H$11*'1 Setup'!$C$11*0.00000024*$H125)/N(INDEX('2 Phases'!$G$7:$G$12,B125)))+(((R124*($G124-$F124)+N('1 Setup'!$F$11)*$F124)/$G124)-('1 Setup'!$G$11+('1 Setup'!$H$11*'1 Setup'!$C$11*0.00000024*$H125)/N(INDEX('2 Phases'!$G$7:$G$12,B125))))*EXP(-N(INDEX('2 Phases'!$G$7:$G$12,B125))))),MAX(0,((R124*($G124-$F124)+N('1 Setup'!$F$11)*$F124)/$G124)+('1 Setup'!$H$11*'1 Setup'!$C$11*0.00000024*$H125))))</f>
        <v/>
      </c>
      <c r="S125" s="18" t="str">
        <f aca="false">IF(OR($B125="",S124="",'1 Setup'!$C$12=""),"",IF(AND($C125="Continuous",N(INDEX('2 Phases'!$G$7:$G$12,B125))&gt;0),IF('1 Setup'!$G$12="","",MAX(0,('1 Setup'!$G$12+('1 Setup'!$H$12*'1 Setup'!$C$12*0.00000024*$H125)/N(INDEX('2 Phases'!$G$7:$G$12,B125)))+(((S124*($G124-$F124)+N('1 Setup'!$F$12)*$F124)/$G124)-('1 Setup'!$G$12+('1 Setup'!$H$12*'1 Setup'!$C$12*0.00000024*$H125)/N(INDEX('2 Phases'!$G$7:$G$12,B125))))*EXP(-N(INDEX('2 Phases'!$G$7:$G$12,B125))))),MAX(0,((S124*($G124-$F124)+N('1 Setup'!$F$12)*$F124)/$G124)+('1 Setup'!$H$12*'1 Setup'!$C$12*0.00000024*$H125))))</f>
        <v/>
      </c>
      <c r="T125" s="18" t="str">
        <f aca="false">IF(OR($B125="",T124="",'1 Setup'!$C$13=""),"",IF(AND($C125="Continuous",N(INDEX('2 Phases'!$G$7:$G$12,B125))&gt;0),IF('1 Setup'!$G$13="","",MAX(0,('1 Setup'!$G$13+('1 Setup'!$H$13*'1 Setup'!$C$13*0.00000024*$H125)/N(INDEX('2 Phases'!$G$7:$G$12,B125)))+(((T124*($G124-$F124)+N('1 Setup'!$F$13)*$F124)/$G124)-('1 Setup'!$G$13+('1 Setup'!$H$13*'1 Setup'!$C$13*0.00000024*$H125)/N(INDEX('2 Phases'!$G$7:$G$12,B125))))*EXP(-N(INDEX('2 Phases'!$G$7:$G$12,B125))))),MAX(0,((T124*($G124-$F124)+N('1 Setup'!$F$13)*$F124)/$G124)+('1 Setup'!$H$13*'1 Setup'!$C$13*0.00000024*$H125))))</f>
        <v/>
      </c>
      <c r="U125" s="18" t="str">
        <f aca="false">IF(OR($B125="",U124="",'1 Setup'!$C$14=""),"",IF(AND($C125="Continuous",N(INDEX('2 Phases'!$G$7:$G$12,B125))&gt;0),IF('1 Setup'!$G$14="","",MAX(0,('1 Setup'!$G$14+('1 Setup'!$H$14*'1 Setup'!$C$14*0.00000024*$H125)/N(INDEX('2 Phases'!$G$7:$G$12,B125)))+(((U124*($G124-$F124)+N('1 Setup'!$F$14)*$F124)/$G124)-('1 Setup'!$G$14+('1 Setup'!$H$14*'1 Setup'!$C$14*0.00000024*$H125)/N(INDEX('2 Phases'!$G$7:$G$12,B125))))*EXP(-N(INDEX('2 Phases'!$G$7:$G$12,B125))))),MAX(0,((U124*($G124-$F124)+N('1 Setup'!$F$14)*$F124)/$G124)+('1 Setup'!$H$14*'1 Setup'!$C$14*0.00000024*$H125))))</f>
        <v/>
      </c>
      <c r="V125" s="18" t="str">
        <f aca="false">IF($B125="","",E125/1000000*'1 Setup'!$B$7)</f>
        <v/>
      </c>
      <c r="W125" s="18" t="str">
        <f aca="false">IF($B125="","",V125*G125)</f>
        <v/>
      </c>
      <c r="X125" s="18" t="str">
        <f aca="false">IF($B125="","",P125*'1 Setup'!$B$7/1000000000)</f>
        <v/>
      </c>
      <c r="Y125" s="18" t="str">
        <f aca="false">IF($B125="","",L125*'1 Setup'!$B$7/1000000000)</f>
        <v/>
      </c>
    </row>
    <row r="126" customFormat="false" ht="15" hidden="false" customHeight="false" outlineLevel="0" collapsed="false">
      <c r="A126" s="7" t="n">
        <v>120</v>
      </c>
      <c r="B126" s="7" t="str">
        <f aca="false">IF(A126&gt;'2 Phases'!$D$4,"",IF(A126=0,1,COUNTIF('2 Phases'!$M$7:$M$12,"&lt;"&amp;A126)+1))</f>
        <v/>
      </c>
      <c r="C126" s="7" t="str">
        <f aca="false">IF($B126="","",INDEX('2 Phases'!$C$7:$C$12,B126))</f>
        <v/>
      </c>
      <c r="D126" s="7" t="str">
        <f aca="false">IF($B126="","",A126-INDEX('2 Phases'!$L$7:$L$12,B126))</f>
        <v/>
      </c>
      <c r="E126" s="14" t="str">
        <f aca="false">IF($B126="","",IFERROR(IF(C126="Continuous",INDEX('2 Phases'!$N$7:$N$12,B126)*EXP((INDEX('2 Phases'!$P$7:$P$12,B126)-N(INDEX('2 Phases'!$H$7:$H$12,B126)))*D126),INDEX('2 Phases'!$N$7:$N$12,B126)*(IF(INDEX('2 Phases'!$E$7:$E$12,B126)="",INDEX('2 Phases'!$N$7:$N$12,B126),INDEX('2 Phases'!$E$7:$E$12,B126))/INDEX('2 Phases'!$N$7:$N$12,B126))^(D126/INDEX('2 Phases'!$D$7:$D$12,B126))),""))</f>
        <v/>
      </c>
      <c r="F126" s="15" t="n">
        <f aca="false">IF(OR($B126="",C126&lt;&gt;"Fed-batch",D126=0),0,IFERROR(N(INDEX('3 Feed regimes'!$B$6:$E$35,D126,MATCH(INDEX('2 Phases'!$F$7:$F$12,B126),'3 Feed regimes'!$B$4:$E$4,0)))*'1 Setup'!$B$5/100,0))</f>
        <v>0</v>
      </c>
      <c r="G126" s="15" t="str">
        <f aca="false">IF($B126="","",G125+F126)</f>
        <v/>
      </c>
      <c r="H126" s="14" t="str">
        <f aca="false">IF($B126="","",(E125+E126)/2)</f>
        <v/>
      </c>
      <c r="I126" s="15" t="str">
        <f aca="false">IF($B126="","",IF(C126="Continuous",N(INDEX('2 Phases'!$G$7:$G$12,B126))*G125,0))</f>
        <v/>
      </c>
      <c r="J126" s="15" t="str">
        <f aca="false">IF($B126="","",IF(C126="Continuous",N(INDEX('2 Phases'!$H$7:$H$12,B126))*G125,0))</f>
        <v/>
      </c>
      <c r="K126" s="15" t="str">
        <f aca="false">IF($B126="","",I126-J126)</f>
        <v/>
      </c>
      <c r="L126" s="14" t="str">
        <f aca="false">IF($B126="","",J126*1000*H126)</f>
        <v/>
      </c>
      <c r="M126" s="15" t="str">
        <f aca="false">IF($B126="","",M125+F126+I126)</f>
        <v/>
      </c>
      <c r="N126" s="15" t="str">
        <f aca="false">IF($B126="","",N125+K126)</f>
        <v/>
      </c>
      <c r="O126" s="15" t="str">
        <f aca="false">IF($B126="","",O125+J126)</f>
        <v/>
      </c>
      <c r="P126" s="14" t="str">
        <f aca="false">IF($B126="","",P125+L126)</f>
        <v/>
      </c>
      <c r="Q126" s="18" t="str">
        <f aca="false">IF(OR($B126="",Q125="",'1 Setup'!$C$10=""),"",IF(AND($C126="Continuous",N(INDEX('2 Phases'!$G$7:$G$12,B126))&gt;0),IF('1 Setup'!$G$10="","",MAX(0,('1 Setup'!$G$10+('1 Setup'!$H$10*'1 Setup'!$C$10*0.00000024*$H126)/N(INDEX('2 Phases'!$G$7:$G$12,B126)))+(((Q125*($G125-$F125)+N('1 Setup'!$F$10)*$F125)/$G125)-('1 Setup'!$G$10+('1 Setup'!$H$10*'1 Setup'!$C$10*0.00000024*$H126)/N(INDEX('2 Phases'!$G$7:$G$12,B126))))*EXP(-N(INDEX('2 Phases'!$G$7:$G$12,B126))))),MAX(0,((Q125*($G125-$F125)+N('1 Setup'!$F$10)*$F125)/$G125)+('1 Setup'!$H$10*'1 Setup'!$C$10*0.00000024*$H126))))</f>
        <v/>
      </c>
      <c r="R126" s="18" t="str">
        <f aca="false">IF(OR($B126="",R125="",'1 Setup'!$C$11=""),"",IF(AND($C126="Continuous",N(INDEX('2 Phases'!$G$7:$G$12,B126))&gt;0),IF('1 Setup'!$G$11="","",MAX(0,('1 Setup'!$G$11+('1 Setup'!$H$11*'1 Setup'!$C$11*0.00000024*$H126)/N(INDEX('2 Phases'!$G$7:$G$12,B126)))+(((R125*($G125-$F125)+N('1 Setup'!$F$11)*$F125)/$G125)-('1 Setup'!$G$11+('1 Setup'!$H$11*'1 Setup'!$C$11*0.00000024*$H126)/N(INDEX('2 Phases'!$G$7:$G$12,B126))))*EXP(-N(INDEX('2 Phases'!$G$7:$G$12,B126))))),MAX(0,((R125*($G125-$F125)+N('1 Setup'!$F$11)*$F125)/$G125)+('1 Setup'!$H$11*'1 Setup'!$C$11*0.00000024*$H126))))</f>
        <v/>
      </c>
      <c r="S126" s="18" t="str">
        <f aca="false">IF(OR($B126="",S125="",'1 Setup'!$C$12=""),"",IF(AND($C126="Continuous",N(INDEX('2 Phases'!$G$7:$G$12,B126))&gt;0),IF('1 Setup'!$G$12="","",MAX(0,('1 Setup'!$G$12+('1 Setup'!$H$12*'1 Setup'!$C$12*0.00000024*$H126)/N(INDEX('2 Phases'!$G$7:$G$12,B126)))+(((S125*($G125-$F125)+N('1 Setup'!$F$12)*$F125)/$G125)-('1 Setup'!$G$12+('1 Setup'!$H$12*'1 Setup'!$C$12*0.00000024*$H126)/N(INDEX('2 Phases'!$G$7:$G$12,B126))))*EXP(-N(INDEX('2 Phases'!$G$7:$G$12,B126))))),MAX(0,((S125*($G125-$F125)+N('1 Setup'!$F$12)*$F125)/$G125)+('1 Setup'!$H$12*'1 Setup'!$C$12*0.00000024*$H126))))</f>
        <v/>
      </c>
      <c r="T126" s="18" t="str">
        <f aca="false">IF(OR($B126="",T125="",'1 Setup'!$C$13=""),"",IF(AND($C126="Continuous",N(INDEX('2 Phases'!$G$7:$G$12,B126))&gt;0),IF('1 Setup'!$G$13="","",MAX(0,('1 Setup'!$G$13+('1 Setup'!$H$13*'1 Setup'!$C$13*0.00000024*$H126)/N(INDEX('2 Phases'!$G$7:$G$12,B126)))+(((T125*($G125-$F125)+N('1 Setup'!$F$13)*$F125)/$G125)-('1 Setup'!$G$13+('1 Setup'!$H$13*'1 Setup'!$C$13*0.00000024*$H126)/N(INDEX('2 Phases'!$G$7:$G$12,B126))))*EXP(-N(INDEX('2 Phases'!$G$7:$G$12,B126))))),MAX(0,((T125*($G125-$F125)+N('1 Setup'!$F$13)*$F125)/$G125)+('1 Setup'!$H$13*'1 Setup'!$C$13*0.00000024*$H126))))</f>
        <v/>
      </c>
      <c r="U126" s="18" t="str">
        <f aca="false">IF(OR($B126="",U125="",'1 Setup'!$C$14=""),"",IF(AND($C126="Continuous",N(INDEX('2 Phases'!$G$7:$G$12,B126))&gt;0),IF('1 Setup'!$G$14="","",MAX(0,('1 Setup'!$G$14+('1 Setup'!$H$14*'1 Setup'!$C$14*0.00000024*$H126)/N(INDEX('2 Phases'!$G$7:$G$12,B126)))+(((U125*($G125-$F125)+N('1 Setup'!$F$14)*$F125)/$G125)-('1 Setup'!$G$14+('1 Setup'!$H$14*'1 Setup'!$C$14*0.00000024*$H126)/N(INDEX('2 Phases'!$G$7:$G$12,B126))))*EXP(-N(INDEX('2 Phases'!$G$7:$G$12,B126))))),MAX(0,((U125*($G125-$F125)+N('1 Setup'!$F$14)*$F125)/$G125)+('1 Setup'!$H$14*'1 Setup'!$C$14*0.00000024*$H126))))</f>
        <v/>
      </c>
      <c r="V126" s="18" t="str">
        <f aca="false">IF($B126="","",E126/1000000*'1 Setup'!$B$7)</f>
        <v/>
      </c>
      <c r="W126" s="18" t="str">
        <f aca="false">IF($B126="","",V126*G126)</f>
        <v/>
      </c>
      <c r="X126" s="18" t="str">
        <f aca="false">IF($B126="","",P126*'1 Setup'!$B$7/1000000000)</f>
        <v/>
      </c>
      <c r="Y126" s="18" t="str">
        <f aca="false">IF($B126="","",L126*'1 Setup'!$B$7/1000000000)</f>
        <v/>
      </c>
    </row>
  </sheetData>
  <conditionalFormatting sqref="Q6:U126">
    <cfRule type="expression" priority="2" aboveAverage="0" equalAverage="0" bottom="0" percent="0" rank="0" text="" dxfId="0">
      <formula>AND(ISNUMBER(Q6),ISNUMBER(Q$3),Q$4*(Q6-Q$3)&gt;0)</formula>
    </cfRule>
  </conditionalFormatting>
  <conditionalFormatting sqref="A6:Y126">
    <cfRule type="expression" priority="3" aboveAverage="0" equalAverage="0" bottom="0" percent="0" rank="0" text="" dxfId="3">
      <formula>$C6="Fed-batch"</formula>
    </cfRule>
    <cfRule type="expression" priority="4" aboveAverage="0" equalAverage="0" bottom="0" percent="0" rank="0" text="" dxfId="4">
      <formula>$C6="Continuous"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14"/>
  </cols>
  <sheetData>
    <row r="1" customFormat="false" ht="31.5" hidden="false" customHeight="true" outlineLevel="0" collapsed="false">
      <c r="A1" s="4" t="s">
        <v>140</v>
      </c>
      <c r="B1" s="4" t="s">
        <v>143</v>
      </c>
      <c r="C1" s="4" t="s">
        <v>145</v>
      </c>
      <c r="D1" s="4" t="s">
        <v>161</v>
      </c>
      <c r="E1" s="4" t="s">
        <v>152</v>
      </c>
      <c r="F1" s="4" t="s">
        <v>153</v>
      </c>
      <c r="G1" s="4" t="s">
        <v>154</v>
      </c>
      <c r="H1" s="4" t="s">
        <v>155</v>
      </c>
      <c r="I1" s="4" t="s">
        <v>156</v>
      </c>
      <c r="J1" s="4" t="s">
        <v>148</v>
      </c>
      <c r="K1" s="4" t="s">
        <v>149</v>
      </c>
      <c r="L1" s="4" t="s">
        <v>150</v>
      </c>
      <c r="M1" s="4" t="s">
        <v>159</v>
      </c>
      <c r="O1" s="2" t="s">
        <v>162</v>
      </c>
    </row>
    <row r="2" customFormat="false" ht="15" hidden="false" customHeight="false" outlineLevel="0" collapsed="false">
      <c r="A2" s="0" t="n" cm="1">
        <f aca="true" t="array" ref="A2:A122" ca="1">_xlfn._xlws.FILTER(Calculation!$A$6:$A$126,Calculation!$B$6:$B$126&lt;&gt;"")</f>
        <v>0</v>
      </c>
      <c r="B2" s="0" t="n" cm="1">
        <f aca="true" t="array" ref="B2:B122" ca="1">_xlfn._xlws.FILTER(Calculation!$E$6:$E$126,Calculation!$B$6:$B$126&lt;&gt;"")</f>
        <v>800000</v>
      </c>
      <c r="C2" s="0" t="n" cm="1">
        <f aca="true" t="array" ref="C2:C122" ca="1">_xlfn._xlws.FILTER(Calculation!$G$6:$G$126,Calculation!$B$6:$B$126&lt;&gt;"")</f>
        <v>1</v>
      </c>
      <c r="D2" s="0" t="n" cm="1">
        <f aca="true" t="array" ref="D2:D122" ca="1">_xlfn._xlws.FILTER(Calculation!$A$6:$A$126*0+'1 Setup'!$B$4,Calculation!$B$6:$B$126&lt;&gt;"")</f>
        <v>2</v>
      </c>
      <c r="E2" s="0" t="n" cm="1">
        <f aca="true" t="array" ref="E2:E122" ca="1">_xlfn._xlws.FILTER(Calculation!$Q$6:$Q$126,Calculation!$B$6:$B$126&lt;&gt;"")</f>
        <v>25</v>
      </c>
      <c r="F2" s="0" t="n" cm="1">
        <f aca="true" t="array" ref="F2:F122" ca="1">_xlfn._xlws.FILTER(Calculation!$R$6:$R$126,Calculation!$B$6:$B$126&lt;&gt;"")</f>
        <v>0</v>
      </c>
      <c r="G2" s="0" t="str" cm="1">
        <f aca="true" t="array" ref="G2:G122" ca="1">_xlfn._xlws.FILTER(Calculation!$S$6:$S$126,Calculation!$B$6:$B$126&lt;&gt;"")</f>
        <v/>
      </c>
      <c r="H2" s="0" t="str" cm="1">
        <f aca="true" t="array" ref="H2:H122" ca="1">_xlfn._xlws.FILTER(Calculation!$T$6:$T$126,Calculation!$B$6:$B$126&lt;&gt;"")</f>
        <v/>
      </c>
      <c r="I2" s="0" t="str" cm="1">
        <f aca="true" t="array" ref="I2:I122" ca="1">_xlfn._xlws.FILTER(Calculation!$U$6:$U$126,Calculation!$B$6:$B$126&lt;&gt;"")</f>
        <v/>
      </c>
      <c r="J2" s="0" t="n" cm="1">
        <f aca="true" t="array" ref="J2:J122" ca="1">_xlfn._xlws.FILTER(Calculation!$M$6:$M$126,Calculation!$B$6:$B$126&lt;&gt;"")</f>
        <v>1</v>
      </c>
      <c r="K2" s="0" t="n" cm="1">
        <f aca="true" t="array" ref="K2:K122" ca="1">_xlfn._xlws.FILTER(Calculation!$N$6:$N$126,Calculation!$B$6:$B$126&lt;&gt;"")</f>
        <v>0</v>
      </c>
      <c r="L2" s="0" t="n" cm="1">
        <f aca="true" t="array" ref="L2:L122" ca="1">_xlfn._xlws.FILTER(Calculation!$O$6:$O$126,Calculation!$B$6:$B$126&lt;&gt;"")</f>
        <v>0</v>
      </c>
      <c r="M2" s="0" t="n" cm="1">
        <f aca="true" t="array" ref="M2:M122" ca="1">_xlfn._xlws.FILTER(Calculation!$X$6:$X$126,Calculation!$B$6:$B$126&lt;&gt;"")</f>
        <v>0</v>
      </c>
    </row>
    <row r="3" customFormat="false" ht="15" hidden="false" customHeight="false" outlineLevel="0" collapsed="false">
      <c r="A3" s="0" t="n">
        <v>1</v>
      </c>
      <c r="B3" s="0" t="n">
        <v>1376953.15824468</v>
      </c>
      <c r="C3" s="0" t="n">
        <v>1</v>
      </c>
      <c r="D3" s="0" t="n">
        <v>2</v>
      </c>
      <c r="E3" s="0" t="n">
        <v>22.936248405984</v>
      </c>
      <c r="F3" s="0" t="n">
        <v>2.24661565930851</v>
      </c>
      <c r="G3" s="0" t="str">
        <v/>
      </c>
      <c r="H3" s="0" t="str">
        <v/>
      </c>
      <c r="I3" s="0" t="str">
        <v/>
      </c>
      <c r="J3" s="0" t="n">
        <v>1</v>
      </c>
      <c r="K3" s="0" t="n">
        <v>0</v>
      </c>
      <c r="L3" s="0" t="n">
        <v>0</v>
      </c>
      <c r="M3" s="0" t="n">
        <v>0</v>
      </c>
    </row>
    <row r="4" customFormat="false" ht="15" hidden="false" customHeight="false" outlineLevel="0" collapsed="false">
      <c r="A4" s="0" t="n">
        <v>2</v>
      </c>
      <c r="B4" s="0" t="n">
        <v>2370000</v>
      </c>
      <c r="C4" s="0" t="n">
        <v>1</v>
      </c>
      <c r="D4" s="0" t="n">
        <v>2</v>
      </c>
      <c r="E4" s="0" t="n">
        <v>19.3841368119681</v>
      </c>
      <c r="F4" s="0" t="n">
        <v>6.11347131861702</v>
      </c>
      <c r="G4" s="0" t="str">
        <v/>
      </c>
      <c r="H4" s="0" t="str">
        <v/>
      </c>
      <c r="I4" s="0" t="str">
        <v/>
      </c>
      <c r="J4" s="0" t="n">
        <v>1</v>
      </c>
      <c r="K4" s="0" t="n">
        <v>0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n">
        <v>3</v>
      </c>
      <c r="B5" s="0" t="n">
        <v>4073082.37088326</v>
      </c>
      <c r="C5" s="0" t="n">
        <v>1.03</v>
      </c>
      <c r="D5" s="0" t="n">
        <v>2</v>
      </c>
      <c r="E5" s="0" t="n">
        <v>13.2760947243708</v>
      </c>
      <c r="F5" s="0" t="n">
        <v>12.7627323253685</v>
      </c>
      <c r="G5" s="0" t="str">
        <v/>
      </c>
      <c r="H5" s="0" t="str">
        <v/>
      </c>
      <c r="I5" s="0" t="str">
        <v/>
      </c>
      <c r="J5" s="0" t="n">
        <v>1.03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n">
        <v>4</v>
      </c>
      <c r="B6" s="0" t="n">
        <v>7000000</v>
      </c>
      <c r="C6" s="0" t="n">
        <v>1.06</v>
      </c>
      <c r="D6" s="0" t="n">
        <v>2</v>
      </c>
      <c r="E6" s="0" t="n">
        <v>9.67368366421894</v>
      </c>
      <c r="F6" s="0" t="n">
        <v>23.8184232643909</v>
      </c>
      <c r="G6" s="0" t="str">
        <v/>
      </c>
      <c r="H6" s="0" t="str">
        <v/>
      </c>
      <c r="I6" s="0" t="str">
        <v/>
      </c>
      <c r="J6" s="0" t="n">
        <v>1.06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n">
        <v>5</v>
      </c>
      <c r="B7" s="0" t="n">
        <v>7000000</v>
      </c>
      <c r="C7" s="0" t="n">
        <v>1.06</v>
      </c>
      <c r="D7" s="0" t="n">
        <v>2</v>
      </c>
      <c r="E7" s="0" t="n">
        <v>11.4096926571249</v>
      </c>
      <c r="F7" s="0" t="n">
        <v>21.5268345629632</v>
      </c>
      <c r="G7" s="0" t="str">
        <v/>
      </c>
      <c r="H7" s="0" t="str">
        <v/>
      </c>
      <c r="I7" s="0" t="str">
        <v/>
      </c>
      <c r="J7" s="0" t="n">
        <v>1.825744</v>
      </c>
      <c r="K7" s="0" t="n">
        <v>0.191743297228615</v>
      </c>
      <c r="L7" s="0" t="n">
        <v>0.574000702771385</v>
      </c>
      <c r="M7" s="0" t="n">
        <v>8.03600983879939</v>
      </c>
    </row>
    <row r="8" customFormat="false" ht="15" hidden="false" customHeight="false" outlineLevel="0" collapsed="false">
      <c r="A8" s="0" t="n">
        <v>6</v>
      </c>
      <c r="B8" s="0" t="n">
        <v>7000000</v>
      </c>
      <c r="C8" s="0" t="n">
        <v>1.06</v>
      </c>
      <c r="D8" s="0" t="n">
        <v>2</v>
      </c>
      <c r="E8" s="0" t="n">
        <v>8.9498725342348</v>
      </c>
      <c r="F8" s="0" t="n">
        <v>20.7414086502732</v>
      </c>
      <c r="G8" s="0" t="str">
        <v/>
      </c>
      <c r="H8" s="0" t="str">
        <v/>
      </c>
      <c r="I8" s="0" t="str">
        <v/>
      </c>
      <c r="J8" s="0" t="n">
        <v>2.591488</v>
      </c>
      <c r="K8" s="0" t="n">
        <v>0.38348659445723</v>
      </c>
      <c r="L8" s="0" t="n">
        <v>1.14800140554277</v>
      </c>
      <c r="M8" s="0" t="n">
        <v>16.0720196775988</v>
      </c>
    </row>
    <row r="9" customFormat="false" ht="15" hidden="false" customHeight="false" outlineLevel="0" collapsed="false">
      <c r="A9" s="0" t="n">
        <v>7</v>
      </c>
      <c r="B9" s="0" t="n">
        <v>7000000</v>
      </c>
      <c r="C9" s="0" t="n">
        <v>1.06</v>
      </c>
      <c r="D9" s="0" t="n">
        <v>2</v>
      </c>
      <c r="E9" s="0" t="n">
        <v>7.75541966981482</v>
      </c>
      <c r="F9" s="0" t="n">
        <v>20.3600172540194</v>
      </c>
      <c r="G9" s="0" t="str">
        <v/>
      </c>
      <c r="H9" s="0" t="str">
        <v/>
      </c>
      <c r="I9" s="0" t="str">
        <v/>
      </c>
      <c r="J9" s="0" t="n">
        <v>3.357232</v>
      </c>
      <c r="K9" s="0" t="n">
        <v>0.575229891685845</v>
      </c>
      <c r="L9" s="0" t="n">
        <v>1.72200210831416</v>
      </c>
      <c r="M9" s="0" t="n">
        <v>24.1080295163982</v>
      </c>
    </row>
    <row r="10" customFormat="false" ht="15" hidden="false" customHeight="false" outlineLevel="0" collapsed="false">
      <c r="A10" s="0" t="n">
        <v>8</v>
      </c>
      <c r="B10" s="0" t="n">
        <v>7000000</v>
      </c>
      <c r="C10" s="0" t="n">
        <v>1.06</v>
      </c>
      <c r="D10" s="0" t="n">
        <v>2</v>
      </c>
      <c r="E10" s="0" t="n">
        <v>7.17541073662308</v>
      </c>
      <c r="F10" s="0" t="n">
        <v>20.1748191407585</v>
      </c>
      <c r="G10" s="0" t="str">
        <v/>
      </c>
      <c r="H10" s="0" t="str">
        <v/>
      </c>
      <c r="I10" s="0" t="str">
        <v/>
      </c>
      <c r="J10" s="0" t="n">
        <v>4.122976</v>
      </c>
      <c r="K10" s="0" t="n">
        <v>0.76697318891446</v>
      </c>
      <c r="L10" s="0" t="n">
        <v>2.29600281108554</v>
      </c>
      <c r="M10" s="0" t="n">
        <v>32.1440393551976</v>
      </c>
    </row>
    <row r="11" customFormat="false" ht="15" hidden="false" customHeight="false" outlineLevel="0" collapsed="false">
      <c r="A11" s="0" t="n">
        <v>9</v>
      </c>
      <c r="B11" s="0" t="n">
        <v>7000000</v>
      </c>
      <c r="C11" s="0" t="n">
        <v>1.06</v>
      </c>
      <c r="D11" s="0" t="n">
        <v>2</v>
      </c>
      <c r="E11" s="0" t="n">
        <v>6.89376683705774</v>
      </c>
      <c r="F11" s="0" t="n">
        <v>20.0848896313561</v>
      </c>
      <c r="G11" s="0" t="str">
        <v/>
      </c>
      <c r="H11" s="0" t="str">
        <v/>
      </c>
      <c r="I11" s="0" t="str">
        <v/>
      </c>
      <c r="J11" s="0" t="n">
        <v>4.88872</v>
      </c>
      <c r="K11" s="0" t="n">
        <v>0.958716486143075</v>
      </c>
      <c r="L11" s="0" t="n">
        <v>2.87000351385693</v>
      </c>
      <c r="M11" s="0" t="n">
        <v>40.180049193997</v>
      </c>
    </row>
    <row r="12" customFormat="false" ht="15" hidden="false" customHeight="false" outlineLevel="0" collapsed="false">
      <c r="A12" s="0" t="n">
        <v>10</v>
      </c>
      <c r="B12" s="0" t="n">
        <v>7000000</v>
      </c>
      <c r="C12" s="0" t="n">
        <v>1.06</v>
      </c>
      <c r="D12" s="0" t="n">
        <v>2</v>
      </c>
      <c r="E12" s="0" t="n">
        <v>6.75700465698949</v>
      </c>
      <c r="F12" s="0" t="n">
        <v>20.0412211699503</v>
      </c>
      <c r="G12" s="0" t="str">
        <v/>
      </c>
      <c r="H12" s="0" t="str">
        <v/>
      </c>
      <c r="I12" s="0" t="str">
        <v/>
      </c>
      <c r="J12" s="0" t="n">
        <v>5.654464</v>
      </c>
      <c r="K12" s="0" t="n">
        <v>1.15045978337169</v>
      </c>
      <c r="L12" s="0" t="n">
        <v>3.44400421662831</v>
      </c>
      <c r="M12" s="0" t="n">
        <v>48.2160590327963</v>
      </c>
    </row>
    <row r="13" customFormat="false" ht="15" hidden="false" customHeight="false" outlineLevel="0" collapsed="false">
      <c r="A13" s="0" t="n">
        <v>11</v>
      </c>
      <c r="B13" s="0" t="n">
        <v>7000000</v>
      </c>
      <c r="C13" s="0" t="n">
        <v>1.06</v>
      </c>
      <c r="D13" s="0" t="n">
        <v>2</v>
      </c>
      <c r="E13" s="0" t="n">
        <v>6.69059493206419</v>
      </c>
      <c r="F13" s="0" t="n">
        <v>20.0200164004123</v>
      </c>
      <c r="G13" s="0" t="str">
        <v/>
      </c>
      <c r="H13" s="0" t="str">
        <v/>
      </c>
      <c r="I13" s="0" t="str">
        <v/>
      </c>
      <c r="J13" s="0" t="n">
        <v>6.420208</v>
      </c>
      <c r="K13" s="0" t="n">
        <v>1.3422030806003</v>
      </c>
      <c r="L13" s="0" t="n">
        <v>4.0180049193997</v>
      </c>
      <c r="M13" s="0" t="n">
        <v>56.2520688715957</v>
      </c>
    </row>
    <row r="14" customFormat="false" ht="15" hidden="false" customHeight="false" outlineLevel="0" collapsed="false">
      <c r="A14" s="0" t="n">
        <v>12</v>
      </c>
      <c r="B14" s="0" t="n">
        <v>7000000</v>
      </c>
      <c r="C14" s="0" t="n">
        <v>1.06</v>
      </c>
      <c r="D14" s="0" t="n">
        <v>2</v>
      </c>
      <c r="E14" s="0" t="n">
        <v>6.65834733581753</v>
      </c>
      <c r="F14" s="0" t="n">
        <v>20.009719672827</v>
      </c>
      <c r="G14" s="0" t="str">
        <v/>
      </c>
      <c r="H14" s="0" t="str">
        <v/>
      </c>
      <c r="I14" s="0" t="str">
        <v/>
      </c>
      <c r="J14" s="0" t="n">
        <v>7.185952</v>
      </c>
      <c r="K14" s="0" t="n">
        <v>1.53394637782892</v>
      </c>
      <c r="L14" s="0" t="n">
        <v>4.59200562217108</v>
      </c>
      <c r="M14" s="0" t="n">
        <v>64.2880787103951</v>
      </c>
    </row>
    <row r="15" customFormat="false" ht="15" hidden="false" customHeight="false" outlineLevel="0" collapsed="false">
      <c r="A15" s="0" t="n">
        <v>13</v>
      </c>
      <c r="B15" s="0" t="n">
        <v>7000000</v>
      </c>
      <c r="C15" s="0" t="n">
        <v>1.06</v>
      </c>
      <c r="D15" s="0" t="n">
        <v>2</v>
      </c>
      <c r="E15" s="0" t="n">
        <v>6.64268837224168</v>
      </c>
      <c r="F15" s="0" t="n">
        <v>20.0047197317159</v>
      </c>
      <c r="G15" s="0" t="str">
        <v/>
      </c>
      <c r="H15" s="0" t="str">
        <v/>
      </c>
      <c r="I15" s="0" t="str">
        <v/>
      </c>
      <c r="J15" s="0" t="n">
        <v>7.951696</v>
      </c>
      <c r="K15" s="0" t="n">
        <v>1.72568967505753</v>
      </c>
      <c r="L15" s="0" t="n">
        <v>5.16600632494247</v>
      </c>
      <c r="M15" s="0" t="n">
        <v>72.3240885491945</v>
      </c>
    </row>
    <row r="16" customFormat="false" ht="15" hidden="false" customHeight="false" outlineLevel="0" collapsed="false">
      <c r="A16" s="0" t="n">
        <v>14</v>
      </c>
      <c r="B16" s="0" t="n">
        <v>7000000</v>
      </c>
      <c r="C16" s="0" t="n">
        <v>1.06</v>
      </c>
      <c r="D16" s="0" t="n">
        <v>2</v>
      </c>
      <c r="E16" s="0" t="n">
        <v>6.63508460734725</v>
      </c>
      <c r="F16" s="0" t="n">
        <v>20.0022918330551</v>
      </c>
      <c r="G16" s="0" t="str">
        <v/>
      </c>
      <c r="H16" s="0" t="str">
        <v/>
      </c>
      <c r="I16" s="0" t="str">
        <v/>
      </c>
      <c r="J16" s="0" t="n">
        <v>8.71744</v>
      </c>
      <c r="K16" s="0" t="n">
        <v>1.91743297228615</v>
      </c>
      <c r="L16" s="0" t="n">
        <v>5.74000702771385</v>
      </c>
      <c r="M16" s="0" t="n">
        <v>80.3600983879939</v>
      </c>
    </row>
    <row r="17" customFormat="false" ht="15" hidden="false" customHeight="false" outlineLevel="0" collapsed="false">
      <c r="A17" s="0" t="e">
        <v>#N/A</v>
      </c>
      <c r="B17" s="0" t="e">
        <v>#N/A</v>
      </c>
      <c r="C17" s="0" t="e">
        <v>#N/A</v>
      </c>
      <c r="D17" s="0" t="e">
        <v>#N/A</v>
      </c>
      <c r="E17" s="0" t="e">
        <v>#N/A</v>
      </c>
      <c r="F17" s="0" t="e">
        <v>#N/A</v>
      </c>
      <c r="G17" s="0" t="e">
        <v>#N/A</v>
      </c>
      <c r="H17" s="0" t="e">
        <v>#N/A</v>
      </c>
      <c r="I17" s="0" t="e">
        <v>#N/A</v>
      </c>
      <c r="J17" s="0" t="e">
        <v>#N/A</v>
      </c>
      <c r="K17" s="0" t="e">
        <v>#N/A</v>
      </c>
      <c r="L17" s="0" t="e">
        <v>#N/A</v>
      </c>
      <c r="M17" s="0" t="e">
        <v>#N/A</v>
      </c>
    </row>
    <row r="18" customFormat="false" ht="15" hidden="false" customHeight="false" outlineLevel="0" collapsed="false">
      <c r="A18" s="0" t="e">
        <v>#N/A</v>
      </c>
      <c r="B18" s="0" t="e">
        <v>#N/A</v>
      </c>
      <c r="C18" s="0" t="e">
        <v>#N/A</v>
      </c>
      <c r="D18" s="0" t="e">
        <v>#N/A</v>
      </c>
      <c r="E18" s="0" t="e">
        <v>#N/A</v>
      </c>
      <c r="F18" s="0" t="e">
        <v>#N/A</v>
      </c>
      <c r="G18" s="0" t="e">
        <v>#N/A</v>
      </c>
      <c r="H18" s="0" t="e">
        <v>#N/A</v>
      </c>
      <c r="I18" s="0" t="e">
        <v>#N/A</v>
      </c>
      <c r="J18" s="0" t="e">
        <v>#N/A</v>
      </c>
      <c r="K18" s="0" t="e">
        <v>#N/A</v>
      </c>
      <c r="L18" s="0" t="e">
        <v>#N/A</v>
      </c>
      <c r="M18" s="0" t="e">
        <v>#N/A</v>
      </c>
    </row>
    <row r="19" customFormat="false" ht="15" hidden="false" customHeight="false" outlineLevel="0" collapsed="false">
      <c r="A19" s="0" t="e">
        <v>#N/A</v>
      </c>
      <c r="B19" s="0" t="e">
        <v>#N/A</v>
      </c>
      <c r="C19" s="0" t="e">
        <v>#N/A</v>
      </c>
      <c r="D19" s="0" t="e">
        <v>#N/A</v>
      </c>
      <c r="E19" s="0" t="e">
        <v>#N/A</v>
      </c>
      <c r="F19" s="0" t="e">
        <v>#N/A</v>
      </c>
      <c r="G19" s="0" t="e">
        <v>#N/A</v>
      </c>
      <c r="H19" s="0" t="e">
        <v>#N/A</v>
      </c>
      <c r="I19" s="0" t="e">
        <v>#N/A</v>
      </c>
      <c r="J19" s="0" t="e">
        <v>#N/A</v>
      </c>
      <c r="K19" s="0" t="e">
        <v>#N/A</v>
      </c>
      <c r="L19" s="0" t="e">
        <v>#N/A</v>
      </c>
      <c r="M19" s="0" t="e">
        <v>#N/A</v>
      </c>
    </row>
    <row r="20" customFormat="false" ht="15" hidden="false" customHeight="false" outlineLevel="0" collapsed="false">
      <c r="A20" s="0" t="e">
        <v>#N/A</v>
      </c>
      <c r="B20" s="0" t="e">
        <v>#N/A</v>
      </c>
      <c r="C20" s="0" t="e">
        <v>#N/A</v>
      </c>
      <c r="D20" s="0" t="e">
        <v>#N/A</v>
      </c>
      <c r="E20" s="0" t="e">
        <v>#N/A</v>
      </c>
      <c r="F20" s="0" t="e">
        <v>#N/A</v>
      </c>
      <c r="G20" s="0" t="e">
        <v>#N/A</v>
      </c>
      <c r="H20" s="0" t="e">
        <v>#N/A</v>
      </c>
      <c r="I20" s="0" t="e">
        <v>#N/A</v>
      </c>
      <c r="J20" s="0" t="e">
        <v>#N/A</v>
      </c>
      <c r="K20" s="0" t="e">
        <v>#N/A</v>
      </c>
      <c r="L20" s="0" t="e">
        <v>#N/A</v>
      </c>
      <c r="M20" s="0" t="e">
        <v>#N/A</v>
      </c>
    </row>
    <row r="21" customFormat="false" ht="15" hidden="false" customHeight="false" outlineLevel="0" collapsed="false">
      <c r="A21" s="0" t="e">
        <v>#N/A</v>
      </c>
      <c r="B21" s="0" t="e">
        <v>#N/A</v>
      </c>
      <c r="C21" s="0" t="e">
        <v>#N/A</v>
      </c>
      <c r="D21" s="0" t="e">
        <v>#N/A</v>
      </c>
      <c r="E21" s="0" t="e">
        <v>#N/A</v>
      </c>
      <c r="F21" s="0" t="e">
        <v>#N/A</v>
      </c>
      <c r="G21" s="0" t="e">
        <v>#N/A</v>
      </c>
      <c r="H21" s="0" t="e">
        <v>#N/A</v>
      </c>
      <c r="I21" s="0" t="e">
        <v>#N/A</v>
      </c>
      <c r="J21" s="0" t="e">
        <v>#N/A</v>
      </c>
      <c r="K21" s="0" t="e">
        <v>#N/A</v>
      </c>
      <c r="L21" s="0" t="e">
        <v>#N/A</v>
      </c>
      <c r="M21" s="0" t="e">
        <v>#N/A</v>
      </c>
    </row>
    <row r="22" customFormat="false" ht="15" hidden="false" customHeight="false" outlineLevel="0" collapsed="false">
      <c r="A22" s="0" t="e">
        <v>#N/A</v>
      </c>
      <c r="B22" s="0" t="e">
        <v>#N/A</v>
      </c>
      <c r="C22" s="0" t="e">
        <v>#N/A</v>
      </c>
      <c r="D22" s="0" t="e">
        <v>#N/A</v>
      </c>
      <c r="E22" s="0" t="e">
        <v>#N/A</v>
      </c>
      <c r="F22" s="0" t="e">
        <v>#N/A</v>
      </c>
      <c r="G22" s="0" t="e">
        <v>#N/A</v>
      </c>
      <c r="H22" s="0" t="e">
        <v>#N/A</v>
      </c>
      <c r="I22" s="0" t="e">
        <v>#N/A</v>
      </c>
      <c r="J22" s="0" t="e">
        <v>#N/A</v>
      </c>
      <c r="K22" s="0" t="e">
        <v>#N/A</v>
      </c>
      <c r="L22" s="0" t="e">
        <v>#N/A</v>
      </c>
      <c r="M22" s="0" t="e">
        <v>#N/A</v>
      </c>
    </row>
    <row r="23" customFormat="false" ht="15" hidden="false" customHeight="false" outlineLevel="0" collapsed="false">
      <c r="A23" s="0" t="e">
        <v>#N/A</v>
      </c>
      <c r="B23" s="0" t="e">
        <v>#N/A</v>
      </c>
      <c r="C23" s="0" t="e">
        <v>#N/A</v>
      </c>
      <c r="D23" s="0" t="e">
        <v>#N/A</v>
      </c>
      <c r="E23" s="0" t="e">
        <v>#N/A</v>
      </c>
      <c r="F23" s="0" t="e">
        <v>#N/A</v>
      </c>
      <c r="G23" s="0" t="e">
        <v>#N/A</v>
      </c>
      <c r="H23" s="0" t="e">
        <v>#N/A</v>
      </c>
      <c r="I23" s="0" t="e">
        <v>#N/A</v>
      </c>
      <c r="J23" s="0" t="e">
        <v>#N/A</v>
      </c>
      <c r="K23" s="0" t="e">
        <v>#N/A</v>
      </c>
      <c r="L23" s="0" t="e">
        <v>#N/A</v>
      </c>
      <c r="M23" s="0" t="e">
        <v>#N/A</v>
      </c>
    </row>
    <row r="24" customFormat="false" ht="15" hidden="false" customHeight="false" outlineLevel="0" collapsed="false">
      <c r="A24" s="0" t="e">
        <v>#N/A</v>
      </c>
      <c r="B24" s="0" t="e">
        <v>#N/A</v>
      </c>
      <c r="C24" s="0" t="e">
        <v>#N/A</v>
      </c>
      <c r="D24" s="0" t="e">
        <v>#N/A</v>
      </c>
      <c r="E24" s="0" t="e">
        <v>#N/A</v>
      </c>
      <c r="F24" s="0" t="e">
        <v>#N/A</v>
      </c>
      <c r="G24" s="0" t="e">
        <v>#N/A</v>
      </c>
      <c r="H24" s="0" t="e">
        <v>#N/A</v>
      </c>
      <c r="I24" s="0" t="e">
        <v>#N/A</v>
      </c>
      <c r="J24" s="0" t="e">
        <v>#N/A</v>
      </c>
      <c r="K24" s="0" t="e">
        <v>#N/A</v>
      </c>
      <c r="L24" s="0" t="e">
        <v>#N/A</v>
      </c>
      <c r="M24" s="0" t="e">
        <v>#N/A</v>
      </c>
    </row>
    <row r="25" customFormat="false" ht="15" hidden="false" customHeight="false" outlineLevel="0" collapsed="false">
      <c r="A25" s="0" t="e">
        <v>#N/A</v>
      </c>
      <c r="B25" s="0" t="e">
        <v>#N/A</v>
      </c>
      <c r="C25" s="0" t="e">
        <v>#N/A</v>
      </c>
      <c r="D25" s="0" t="e">
        <v>#N/A</v>
      </c>
      <c r="E25" s="0" t="e">
        <v>#N/A</v>
      </c>
      <c r="F25" s="0" t="e">
        <v>#N/A</v>
      </c>
      <c r="G25" s="0" t="e">
        <v>#N/A</v>
      </c>
      <c r="H25" s="0" t="e">
        <v>#N/A</v>
      </c>
      <c r="I25" s="0" t="e">
        <v>#N/A</v>
      </c>
      <c r="J25" s="0" t="e">
        <v>#N/A</v>
      </c>
      <c r="K25" s="0" t="e">
        <v>#N/A</v>
      </c>
      <c r="L25" s="0" t="e">
        <v>#N/A</v>
      </c>
      <c r="M25" s="0" t="e">
        <v>#N/A</v>
      </c>
    </row>
    <row r="26" customFormat="false" ht="15" hidden="false" customHeight="false" outlineLevel="0" collapsed="false">
      <c r="A26" s="0" t="e">
        <v>#N/A</v>
      </c>
      <c r="B26" s="0" t="e">
        <v>#N/A</v>
      </c>
      <c r="C26" s="0" t="e">
        <v>#N/A</v>
      </c>
      <c r="D26" s="0" t="e">
        <v>#N/A</v>
      </c>
      <c r="E26" s="0" t="e">
        <v>#N/A</v>
      </c>
      <c r="F26" s="0" t="e">
        <v>#N/A</v>
      </c>
      <c r="G26" s="0" t="e">
        <v>#N/A</v>
      </c>
      <c r="H26" s="0" t="e">
        <v>#N/A</v>
      </c>
      <c r="I26" s="0" t="e">
        <v>#N/A</v>
      </c>
      <c r="J26" s="0" t="e">
        <v>#N/A</v>
      </c>
      <c r="K26" s="0" t="e">
        <v>#N/A</v>
      </c>
      <c r="L26" s="0" t="e">
        <v>#N/A</v>
      </c>
      <c r="M26" s="0" t="e">
        <v>#N/A</v>
      </c>
    </row>
    <row r="27" customFormat="false" ht="15" hidden="false" customHeight="false" outlineLevel="0" collapsed="false">
      <c r="A27" s="0" t="e">
        <v>#N/A</v>
      </c>
      <c r="B27" s="0" t="e">
        <v>#N/A</v>
      </c>
      <c r="C27" s="0" t="e">
        <v>#N/A</v>
      </c>
      <c r="D27" s="0" t="e">
        <v>#N/A</v>
      </c>
      <c r="E27" s="0" t="e">
        <v>#N/A</v>
      </c>
      <c r="F27" s="0" t="e">
        <v>#N/A</v>
      </c>
      <c r="G27" s="0" t="e">
        <v>#N/A</v>
      </c>
      <c r="H27" s="0" t="e">
        <v>#N/A</v>
      </c>
      <c r="I27" s="0" t="e">
        <v>#N/A</v>
      </c>
      <c r="J27" s="0" t="e">
        <v>#N/A</v>
      </c>
      <c r="K27" s="0" t="e">
        <v>#N/A</v>
      </c>
      <c r="L27" s="0" t="e">
        <v>#N/A</v>
      </c>
      <c r="M27" s="0" t="e">
        <v>#N/A</v>
      </c>
    </row>
    <row r="28" customFormat="false" ht="15" hidden="false" customHeight="false" outlineLevel="0" collapsed="false">
      <c r="A28" s="0" t="e">
        <v>#N/A</v>
      </c>
      <c r="B28" s="0" t="e">
        <v>#N/A</v>
      </c>
      <c r="C28" s="0" t="e">
        <v>#N/A</v>
      </c>
      <c r="D28" s="0" t="e">
        <v>#N/A</v>
      </c>
      <c r="E28" s="0" t="e">
        <v>#N/A</v>
      </c>
      <c r="F28" s="0" t="e">
        <v>#N/A</v>
      </c>
      <c r="G28" s="0" t="e">
        <v>#N/A</v>
      </c>
      <c r="H28" s="0" t="e">
        <v>#N/A</v>
      </c>
      <c r="I28" s="0" t="e">
        <v>#N/A</v>
      </c>
      <c r="J28" s="0" t="e">
        <v>#N/A</v>
      </c>
      <c r="K28" s="0" t="e">
        <v>#N/A</v>
      </c>
      <c r="L28" s="0" t="e">
        <v>#N/A</v>
      </c>
      <c r="M28" s="0" t="e">
        <v>#N/A</v>
      </c>
    </row>
    <row r="29" customFormat="false" ht="15" hidden="false" customHeight="false" outlineLevel="0" collapsed="false">
      <c r="A29" s="0" t="e">
        <v>#N/A</v>
      </c>
      <c r="B29" s="0" t="e">
        <v>#N/A</v>
      </c>
      <c r="C29" s="0" t="e">
        <v>#N/A</v>
      </c>
      <c r="D29" s="0" t="e">
        <v>#N/A</v>
      </c>
      <c r="E29" s="0" t="e">
        <v>#N/A</v>
      </c>
      <c r="F29" s="0" t="e">
        <v>#N/A</v>
      </c>
      <c r="G29" s="0" t="e">
        <v>#N/A</v>
      </c>
      <c r="H29" s="0" t="e">
        <v>#N/A</v>
      </c>
      <c r="I29" s="0" t="e">
        <v>#N/A</v>
      </c>
      <c r="J29" s="0" t="e">
        <v>#N/A</v>
      </c>
      <c r="K29" s="0" t="e">
        <v>#N/A</v>
      </c>
      <c r="L29" s="0" t="e">
        <v>#N/A</v>
      </c>
      <c r="M29" s="0" t="e">
        <v>#N/A</v>
      </c>
    </row>
    <row r="30" customFormat="false" ht="15" hidden="false" customHeight="false" outlineLevel="0" collapsed="false">
      <c r="A30" s="0" t="e">
        <v>#N/A</v>
      </c>
      <c r="B30" s="0" t="e">
        <v>#N/A</v>
      </c>
      <c r="C30" s="0" t="e">
        <v>#N/A</v>
      </c>
      <c r="D30" s="0" t="e">
        <v>#N/A</v>
      </c>
      <c r="E30" s="0" t="e">
        <v>#N/A</v>
      </c>
      <c r="F30" s="0" t="e">
        <v>#N/A</v>
      </c>
      <c r="G30" s="0" t="e">
        <v>#N/A</v>
      </c>
      <c r="H30" s="0" t="e">
        <v>#N/A</v>
      </c>
      <c r="I30" s="0" t="e">
        <v>#N/A</v>
      </c>
      <c r="J30" s="0" t="e">
        <v>#N/A</v>
      </c>
      <c r="K30" s="0" t="e">
        <v>#N/A</v>
      </c>
      <c r="L30" s="0" t="e">
        <v>#N/A</v>
      </c>
      <c r="M30" s="0" t="e">
        <v>#N/A</v>
      </c>
    </row>
    <row r="31" customFormat="false" ht="15" hidden="false" customHeight="false" outlineLevel="0" collapsed="false">
      <c r="A31" s="0" t="e">
        <v>#N/A</v>
      </c>
      <c r="B31" s="0" t="e">
        <v>#N/A</v>
      </c>
      <c r="C31" s="0" t="e">
        <v>#N/A</v>
      </c>
      <c r="D31" s="0" t="e">
        <v>#N/A</v>
      </c>
      <c r="E31" s="0" t="e">
        <v>#N/A</v>
      </c>
      <c r="F31" s="0" t="e">
        <v>#N/A</v>
      </c>
      <c r="G31" s="0" t="e">
        <v>#N/A</v>
      </c>
      <c r="H31" s="0" t="e">
        <v>#N/A</v>
      </c>
      <c r="I31" s="0" t="e">
        <v>#N/A</v>
      </c>
      <c r="J31" s="0" t="e">
        <v>#N/A</v>
      </c>
      <c r="K31" s="0" t="e">
        <v>#N/A</v>
      </c>
      <c r="L31" s="0" t="e">
        <v>#N/A</v>
      </c>
      <c r="M31" s="0" t="e">
        <v>#N/A</v>
      </c>
    </row>
    <row r="32" customFormat="false" ht="15" hidden="false" customHeight="false" outlineLevel="0" collapsed="false">
      <c r="A32" s="0" t="e">
        <v>#N/A</v>
      </c>
      <c r="B32" s="0" t="e">
        <v>#N/A</v>
      </c>
      <c r="C32" s="0" t="e">
        <v>#N/A</v>
      </c>
      <c r="D32" s="0" t="e">
        <v>#N/A</v>
      </c>
      <c r="E32" s="0" t="e">
        <v>#N/A</v>
      </c>
      <c r="F32" s="0" t="e">
        <v>#N/A</v>
      </c>
      <c r="G32" s="0" t="e">
        <v>#N/A</v>
      </c>
      <c r="H32" s="0" t="e">
        <v>#N/A</v>
      </c>
      <c r="I32" s="0" t="e">
        <v>#N/A</v>
      </c>
      <c r="J32" s="0" t="e">
        <v>#N/A</v>
      </c>
      <c r="K32" s="0" t="e">
        <v>#N/A</v>
      </c>
      <c r="L32" s="0" t="e">
        <v>#N/A</v>
      </c>
      <c r="M32" s="0" t="e">
        <v>#N/A</v>
      </c>
    </row>
    <row r="33" customFormat="false" ht="15" hidden="false" customHeight="false" outlineLevel="0" collapsed="false">
      <c r="A33" s="0" t="e">
        <v>#N/A</v>
      </c>
      <c r="B33" s="0" t="e">
        <v>#N/A</v>
      </c>
      <c r="C33" s="0" t="e">
        <v>#N/A</v>
      </c>
      <c r="D33" s="0" t="e">
        <v>#N/A</v>
      </c>
      <c r="E33" s="0" t="e">
        <v>#N/A</v>
      </c>
      <c r="F33" s="0" t="e">
        <v>#N/A</v>
      </c>
      <c r="G33" s="0" t="e">
        <v>#N/A</v>
      </c>
      <c r="H33" s="0" t="e">
        <v>#N/A</v>
      </c>
      <c r="I33" s="0" t="e">
        <v>#N/A</v>
      </c>
      <c r="J33" s="0" t="e">
        <v>#N/A</v>
      </c>
      <c r="K33" s="0" t="e">
        <v>#N/A</v>
      </c>
      <c r="L33" s="0" t="e">
        <v>#N/A</v>
      </c>
      <c r="M33" s="0" t="e">
        <v>#N/A</v>
      </c>
    </row>
    <row r="34" customFormat="false" ht="15" hidden="false" customHeight="false" outlineLevel="0" collapsed="false">
      <c r="A34" s="0" t="e">
        <v>#N/A</v>
      </c>
      <c r="B34" s="0" t="e">
        <v>#N/A</v>
      </c>
      <c r="C34" s="0" t="e">
        <v>#N/A</v>
      </c>
      <c r="D34" s="0" t="e">
        <v>#N/A</v>
      </c>
      <c r="E34" s="0" t="e">
        <v>#N/A</v>
      </c>
      <c r="F34" s="0" t="e">
        <v>#N/A</v>
      </c>
      <c r="G34" s="0" t="e">
        <v>#N/A</v>
      </c>
      <c r="H34" s="0" t="e">
        <v>#N/A</v>
      </c>
      <c r="I34" s="0" t="e">
        <v>#N/A</v>
      </c>
      <c r="J34" s="0" t="e">
        <v>#N/A</v>
      </c>
      <c r="K34" s="0" t="e">
        <v>#N/A</v>
      </c>
      <c r="L34" s="0" t="e">
        <v>#N/A</v>
      </c>
      <c r="M34" s="0" t="e">
        <v>#N/A</v>
      </c>
    </row>
    <row r="35" customFormat="false" ht="15" hidden="false" customHeight="false" outlineLevel="0" collapsed="false">
      <c r="A35" s="0" t="e">
        <v>#N/A</v>
      </c>
      <c r="B35" s="0" t="e">
        <v>#N/A</v>
      </c>
      <c r="C35" s="0" t="e">
        <v>#N/A</v>
      </c>
      <c r="D35" s="0" t="e">
        <v>#N/A</v>
      </c>
      <c r="E35" s="0" t="e">
        <v>#N/A</v>
      </c>
      <c r="F35" s="0" t="e">
        <v>#N/A</v>
      </c>
      <c r="G35" s="0" t="e">
        <v>#N/A</v>
      </c>
      <c r="H35" s="0" t="e">
        <v>#N/A</v>
      </c>
      <c r="I35" s="0" t="e">
        <v>#N/A</v>
      </c>
      <c r="J35" s="0" t="e">
        <v>#N/A</v>
      </c>
      <c r="K35" s="0" t="e">
        <v>#N/A</v>
      </c>
      <c r="L35" s="0" t="e">
        <v>#N/A</v>
      </c>
      <c r="M35" s="0" t="e">
        <v>#N/A</v>
      </c>
    </row>
    <row r="36" customFormat="false" ht="15" hidden="false" customHeight="false" outlineLevel="0" collapsed="false">
      <c r="A36" s="0" t="e">
        <v>#N/A</v>
      </c>
      <c r="B36" s="0" t="e">
        <v>#N/A</v>
      </c>
      <c r="C36" s="0" t="e">
        <v>#N/A</v>
      </c>
      <c r="D36" s="0" t="e">
        <v>#N/A</v>
      </c>
      <c r="E36" s="0" t="e">
        <v>#N/A</v>
      </c>
      <c r="F36" s="0" t="e">
        <v>#N/A</v>
      </c>
      <c r="G36" s="0" t="e">
        <v>#N/A</v>
      </c>
      <c r="H36" s="0" t="e">
        <v>#N/A</v>
      </c>
      <c r="I36" s="0" t="e">
        <v>#N/A</v>
      </c>
      <c r="J36" s="0" t="e">
        <v>#N/A</v>
      </c>
      <c r="K36" s="0" t="e">
        <v>#N/A</v>
      </c>
      <c r="L36" s="0" t="e">
        <v>#N/A</v>
      </c>
      <c r="M36" s="0" t="e">
        <v>#N/A</v>
      </c>
    </row>
    <row r="37" customFormat="false" ht="15" hidden="false" customHeight="false" outlineLevel="0" collapsed="false">
      <c r="A37" s="0" t="e">
        <v>#N/A</v>
      </c>
      <c r="B37" s="0" t="e">
        <v>#N/A</v>
      </c>
      <c r="C37" s="0" t="e">
        <v>#N/A</v>
      </c>
      <c r="D37" s="0" t="e">
        <v>#N/A</v>
      </c>
      <c r="E37" s="0" t="e">
        <v>#N/A</v>
      </c>
      <c r="F37" s="0" t="e">
        <v>#N/A</v>
      </c>
      <c r="G37" s="0" t="e">
        <v>#N/A</v>
      </c>
      <c r="H37" s="0" t="e">
        <v>#N/A</v>
      </c>
      <c r="I37" s="0" t="e">
        <v>#N/A</v>
      </c>
      <c r="J37" s="0" t="e">
        <v>#N/A</v>
      </c>
      <c r="K37" s="0" t="e">
        <v>#N/A</v>
      </c>
      <c r="L37" s="0" t="e">
        <v>#N/A</v>
      </c>
      <c r="M37" s="0" t="e">
        <v>#N/A</v>
      </c>
    </row>
    <row r="38" customFormat="false" ht="15" hidden="false" customHeight="false" outlineLevel="0" collapsed="false">
      <c r="A38" s="0" t="e">
        <v>#N/A</v>
      </c>
      <c r="B38" s="0" t="e">
        <v>#N/A</v>
      </c>
      <c r="C38" s="0" t="e">
        <v>#N/A</v>
      </c>
      <c r="D38" s="0" t="e">
        <v>#N/A</v>
      </c>
      <c r="E38" s="0" t="e">
        <v>#N/A</v>
      </c>
      <c r="F38" s="0" t="e">
        <v>#N/A</v>
      </c>
      <c r="G38" s="0" t="e">
        <v>#N/A</v>
      </c>
      <c r="H38" s="0" t="e">
        <v>#N/A</v>
      </c>
      <c r="I38" s="0" t="e">
        <v>#N/A</v>
      </c>
      <c r="J38" s="0" t="e">
        <v>#N/A</v>
      </c>
      <c r="K38" s="0" t="e">
        <v>#N/A</v>
      </c>
      <c r="L38" s="0" t="e">
        <v>#N/A</v>
      </c>
      <c r="M38" s="0" t="e">
        <v>#N/A</v>
      </c>
    </row>
    <row r="39" customFormat="false" ht="15" hidden="false" customHeight="false" outlineLevel="0" collapsed="false">
      <c r="A39" s="0" t="e">
        <v>#N/A</v>
      </c>
      <c r="B39" s="0" t="e">
        <v>#N/A</v>
      </c>
      <c r="C39" s="0" t="e">
        <v>#N/A</v>
      </c>
      <c r="D39" s="0" t="e">
        <v>#N/A</v>
      </c>
      <c r="E39" s="0" t="e">
        <v>#N/A</v>
      </c>
      <c r="F39" s="0" t="e">
        <v>#N/A</v>
      </c>
      <c r="G39" s="0" t="e">
        <v>#N/A</v>
      </c>
      <c r="H39" s="0" t="e">
        <v>#N/A</v>
      </c>
      <c r="I39" s="0" t="e">
        <v>#N/A</v>
      </c>
      <c r="J39" s="0" t="e">
        <v>#N/A</v>
      </c>
      <c r="K39" s="0" t="e">
        <v>#N/A</v>
      </c>
      <c r="L39" s="0" t="e">
        <v>#N/A</v>
      </c>
      <c r="M39" s="0" t="e">
        <v>#N/A</v>
      </c>
    </row>
    <row r="40" customFormat="false" ht="15" hidden="false" customHeight="false" outlineLevel="0" collapsed="false">
      <c r="A40" s="0" t="e">
        <v>#N/A</v>
      </c>
      <c r="B40" s="0" t="e">
        <v>#N/A</v>
      </c>
      <c r="C40" s="0" t="e">
        <v>#N/A</v>
      </c>
      <c r="D40" s="0" t="e">
        <v>#N/A</v>
      </c>
      <c r="E40" s="0" t="e">
        <v>#N/A</v>
      </c>
      <c r="F40" s="0" t="e">
        <v>#N/A</v>
      </c>
      <c r="G40" s="0" t="e">
        <v>#N/A</v>
      </c>
      <c r="H40" s="0" t="e">
        <v>#N/A</v>
      </c>
      <c r="I40" s="0" t="e">
        <v>#N/A</v>
      </c>
      <c r="J40" s="0" t="e">
        <v>#N/A</v>
      </c>
      <c r="K40" s="0" t="e">
        <v>#N/A</v>
      </c>
      <c r="L40" s="0" t="e">
        <v>#N/A</v>
      </c>
      <c r="M40" s="0" t="e">
        <v>#N/A</v>
      </c>
    </row>
    <row r="41" customFormat="false" ht="15" hidden="false" customHeight="false" outlineLevel="0" collapsed="false">
      <c r="A41" s="0" t="e">
        <v>#N/A</v>
      </c>
      <c r="B41" s="0" t="e">
        <v>#N/A</v>
      </c>
      <c r="C41" s="0" t="e">
        <v>#N/A</v>
      </c>
      <c r="D41" s="0" t="e">
        <v>#N/A</v>
      </c>
      <c r="E41" s="0" t="e">
        <v>#N/A</v>
      </c>
      <c r="F41" s="0" t="e">
        <v>#N/A</v>
      </c>
      <c r="G41" s="0" t="e">
        <v>#N/A</v>
      </c>
      <c r="H41" s="0" t="e">
        <v>#N/A</v>
      </c>
      <c r="I41" s="0" t="e">
        <v>#N/A</v>
      </c>
      <c r="J41" s="0" t="e">
        <v>#N/A</v>
      </c>
      <c r="K41" s="0" t="e">
        <v>#N/A</v>
      </c>
      <c r="L41" s="0" t="e">
        <v>#N/A</v>
      </c>
      <c r="M41" s="0" t="e">
        <v>#N/A</v>
      </c>
    </row>
    <row r="42" customFormat="false" ht="15" hidden="false" customHeight="false" outlineLevel="0" collapsed="false">
      <c r="A42" s="0" t="e">
        <v>#N/A</v>
      </c>
      <c r="B42" s="0" t="e">
        <v>#N/A</v>
      </c>
      <c r="C42" s="0" t="e">
        <v>#N/A</v>
      </c>
      <c r="D42" s="0" t="e">
        <v>#N/A</v>
      </c>
      <c r="E42" s="0" t="e">
        <v>#N/A</v>
      </c>
      <c r="F42" s="0" t="e">
        <v>#N/A</v>
      </c>
      <c r="G42" s="0" t="e">
        <v>#N/A</v>
      </c>
      <c r="H42" s="0" t="e">
        <v>#N/A</v>
      </c>
      <c r="I42" s="0" t="e">
        <v>#N/A</v>
      </c>
      <c r="J42" s="0" t="e">
        <v>#N/A</v>
      </c>
      <c r="K42" s="0" t="e">
        <v>#N/A</v>
      </c>
      <c r="L42" s="0" t="e">
        <v>#N/A</v>
      </c>
      <c r="M42" s="0" t="e">
        <v>#N/A</v>
      </c>
    </row>
    <row r="43" customFormat="false" ht="15" hidden="false" customHeight="false" outlineLevel="0" collapsed="false">
      <c r="A43" s="0" t="e">
        <v>#N/A</v>
      </c>
      <c r="B43" s="0" t="e">
        <v>#N/A</v>
      </c>
      <c r="C43" s="0" t="e">
        <v>#N/A</v>
      </c>
      <c r="D43" s="0" t="e">
        <v>#N/A</v>
      </c>
      <c r="E43" s="0" t="e">
        <v>#N/A</v>
      </c>
      <c r="F43" s="0" t="e">
        <v>#N/A</v>
      </c>
      <c r="G43" s="0" t="e">
        <v>#N/A</v>
      </c>
      <c r="H43" s="0" t="e">
        <v>#N/A</v>
      </c>
      <c r="I43" s="0" t="e">
        <v>#N/A</v>
      </c>
      <c r="J43" s="0" t="e">
        <v>#N/A</v>
      </c>
      <c r="K43" s="0" t="e">
        <v>#N/A</v>
      </c>
      <c r="L43" s="0" t="e">
        <v>#N/A</v>
      </c>
      <c r="M43" s="0" t="e">
        <v>#N/A</v>
      </c>
    </row>
    <row r="44" customFormat="false" ht="15" hidden="false" customHeight="false" outlineLevel="0" collapsed="false">
      <c r="A44" s="0" t="e">
        <v>#N/A</v>
      </c>
      <c r="B44" s="0" t="e">
        <v>#N/A</v>
      </c>
      <c r="C44" s="0" t="e">
        <v>#N/A</v>
      </c>
      <c r="D44" s="0" t="e">
        <v>#N/A</v>
      </c>
      <c r="E44" s="0" t="e">
        <v>#N/A</v>
      </c>
      <c r="F44" s="0" t="e">
        <v>#N/A</v>
      </c>
      <c r="G44" s="0" t="e">
        <v>#N/A</v>
      </c>
      <c r="H44" s="0" t="e">
        <v>#N/A</v>
      </c>
      <c r="I44" s="0" t="e">
        <v>#N/A</v>
      </c>
      <c r="J44" s="0" t="e">
        <v>#N/A</v>
      </c>
      <c r="K44" s="0" t="e">
        <v>#N/A</v>
      </c>
      <c r="L44" s="0" t="e">
        <v>#N/A</v>
      </c>
      <c r="M44" s="0" t="e">
        <v>#N/A</v>
      </c>
    </row>
    <row r="45" customFormat="false" ht="15" hidden="false" customHeight="false" outlineLevel="0" collapsed="false">
      <c r="A45" s="0" t="e">
        <v>#N/A</v>
      </c>
      <c r="B45" s="0" t="e">
        <v>#N/A</v>
      </c>
      <c r="C45" s="0" t="e">
        <v>#N/A</v>
      </c>
      <c r="D45" s="0" t="e">
        <v>#N/A</v>
      </c>
      <c r="E45" s="0" t="e">
        <v>#N/A</v>
      </c>
      <c r="F45" s="0" t="e">
        <v>#N/A</v>
      </c>
      <c r="G45" s="0" t="e">
        <v>#N/A</v>
      </c>
      <c r="H45" s="0" t="e">
        <v>#N/A</v>
      </c>
      <c r="I45" s="0" t="e">
        <v>#N/A</v>
      </c>
      <c r="J45" s="0" t="e">
        <v>#N/A</v>
      </c>
      <c r="K45" s="0" t="e">
        <v>#N/A</v>
      </c>
      <c r="L45" s="0" t="e">
        <v>#N/A</v>
      </c>
      <c r="M45" s="0" t="e">
        <v>#N/A</v>
      </c>
    </row>
    <row r="46" customFormat="false" ht="15" hidden="false" customHeight="false" outlineLevel="0" collapsed="false">
      <c r="A46" s="0" t="e">
        <v>#N/A</v>
      </c>
      <c r="B46" s="0" t="e">
        <v>#N/A</v>
      </c>
      <c r="C46" s="0" t="e">
        <v>#N/A</v>
      </c>
      <c r="D46" s="0" t="e">
        <v>#N/A</v>
      </c>
      <c r="E46" s="0" t="e">
        <v>#N/A</v>
      </c>
      <c r="F46" s="0" t="e">
        <v>#N/A</v>
      </c>
      <c r="G46" s="0" t="e">
        <v>#N/A</v>
      </c>
      <c r="H46" s="0" t="e">
        <v>#N/A</v>
      </c>
      <c r="I46" s="0" t="e">
        <v>#N/A</v>
      </c>
      <c r="J46" s="0" t="e">
        <v>#N/A</v>
      </c>
      <c r="K46" s="0" t="e">
        <v>#N/A</v>
      </c>
      <c r="L46" s="0" t="e">
        <v>#N/A</v>
      </c>
      <c r="M46" s="0" t="e">
        <v>#N/A</v>
      </c>
    </row>
    <row r="47" customFormat="false" ht="15" hidden="false" customHeight="false" outlineLevel="0" collapsed="false">
      <c r="A47" s="0" t="e">
        <v>#N/A</v>
      </c>
      <c r="B47" s="0" t="e">
        <v>#N/A</v>
      </c>
      <c r="C47" s="0" t="e">
        <v>#N/A</v>
      </c>
      <c r="D47" s="0" t="e">
        <v>#N/A</v>
      </c>
      <c r="E47" s="0" t="e">
        <v>#N/A</v>
      </c>
      <c r="F47" s="0" t="e">
        <v>#N/A</v>
      </c>
      <c r="G47" s="0" t="e">
        <v>#N/A</v>
      </c>
      <c r="H47" s="0" t="e">
        <v>#N/A</v>
      </c>
      <c r="I47" s="0" t="e">
        <v>#N/A</v>
      </c>
      <c r="J47" s="0" t="e">
        <v>#N/A</v>
      </c>
      <c r="K47" s="0" t="e">
        <v>#N/A</v>
      </c>
      <c r="L47" s="0" t="e">
        <v>#N/A</v>
      </c>
      <c r="M47" s="0" t="e">
        <v>#N/A</v>
      </c>
    </row>
    <row r="48" customFormat="false" ht="15" hidden="false" customHeight="false" outlineLevel="0" collapsed="false">
      <c r="A48" s="0" t="e">
        <v>#N/A</v>
      </c>
      <c r="B48" s="0" t="e">
        <v>#N/A</v>
      </c>
      <c r="C48" s="0" t="e">
        <v>#N/A</v>
      </c>
      <c r="D48" s="0" t="e">
        <v>#N/A</v>
      </c>
      <c r="E48" s="0" t="e">
        <v>#N/A</v>
      </c>
      <c r="F48" s="0" t="e">
        <v>#N/A</v>
      </c>
      <c r="G48" s="0" t="e">
        <v>#N/A</v>
      </c>
      <c r="H48" s="0" t="e">
        <v>#N/A</v>
      </c>
      <c r="I48" s="0" t="e">
        <v>#N/A</v>
      </c>
      <c r="J48" s="0" t="e">
        <v>#N/A</v>
      </c>
      <c r="K48" s="0" t="e">
        <v>#N/A</v>
      </c>
      <c r="L48" s="0" t="e">
        <v>#N/A</v>
      </c>
      <c r="M48" s="0" t="e">
        <v>#N/A</v>
      </c>
    </row>
    <row r="49" customFormat="false" ht="15" hidden="false" customHeight="false" outlineLevel="0" collapsed="false">
      <c r="A49" s="0" t="e">
        <v>#N/A</v>
      </c>
      <c r="B49" s="0" t="e">
        <v>#N/A</v>
      </c>
      <c r="C49" s="0" t="e">
        <v>#N/A</v>
      </c>
      <c r="D49" s="0" t="e">
        <v>#N/A</v>
      </c>
      <c r="E49" s="0" t="e">
        <v>#N/A</v>
      </c>
      <c r="F49" s="0" t="e">
        <v>#N/A</v>
      </c>
      <c r="G49" s="0" t="e">
        <v>#N/A</v>
      </c>
      <c r="H49" s="0" t="e">
        <v>#N/A</v>
      </c>
      <c r="I49" s="0" t="e">
        <v>#N/A</v>
      </c>
      <c r="J49" s="0" t="e">
        <v>#N/A</v>
      </c>
      <c r="K49" s="0" t="e">
        <v>#N/A</v>
      </c>
      <c r="L49" s="0" t="e">
        <v>#N/A</v>
      </c>
      <c r="M49" s="0" t="e">
        <v>#N/A</v>
      </c>
    </row>
    <row r="50" customFormat="false" ht="15" hidden="false" customHeight="false" outlineLevel="0" collapsed="false">
      <c r="A50" s="0" t="e">
        <v>#N/A</v>
      </c>
      <c r="B50" s="0" t="e">
        <v>#N/A</v>
      </c>
      <c r="C50" s="0" t="e">
        <v>#N/A</v>
      </c>
      <c r="D50" s="0" t="e">
        <v>#N/A</v>
      </c>
      <c r="E50" s="0" t="e">
        <v>#N/A</v>
      </c>
      <c r="F50" s="0" t="e">
        <v>#N/A</v>
      </c>
      <c r="G50" s="0" t="e">
        <v>#N/A</v>
      </c>
      <c r="H50" s="0" t="e">
        <v>#N/A</v>
      </c>
      <c r="I50" s="0" t="e">
        <v>#N/A</v>
      </c>
      <c r="J50" s="0" t="e">
        <v>#N/A</v>
      </c>
      <c r="K50" s="0" t="e">
        <v>#N/A</v>
      </c>
      <c r="L50" s="0" t="e">
        <v>#N/A</v>
      </c>
      <c r="M50" s="0" t="e">
        <v>#N/A</v>
      </c>
    </row>
    <row r="51" customFormat="false" ht="15" hidden="false" customHeight="false" outlineLevel="0" collapsed="false">
      <c r="A51" s="0" t="e">
        <v>#N/A</v>
      </c>
      <c r="B51" s="0" t="e">
        <v>#N/A</v>
      </c>
      <c r="C51" s="0" t="e">
        <v>#N/A</v>
      </c>
      <c r="D51" s="0" t="e">
        <v>#N/A</v>
      </c>
      <c r="E51" s="0" t="e">
        <v>#N/A</v>
      </c>
      <c r="F51" s="0" t="e">
        <v>#N/A</v>
      </c>
      <c r="G51" s="0" t="e">
        <v>#N/A</v>
      </c>
      <c r="H51" s="0" t="e">
        <v>#N/A</v>
      </c>
      <c r="I51" s="0" t="e">
        <v>#N/A</v>
      </c>
      <c r="J51" s="0" t="e">
        <v>#N/A</v>
      </c>
      <c r="K51" s="0" t="e">
        <v>#N/A</v>
      </c>
      <c r="L51" s="0" t="e">
        <v>#N/A</v>
      </c>
      <c r="M51" s="0" t="e">
        <v>#N/A</v>
      </c>
    </row>
    <row r="52" customFormat="false" ht="15" hidden="false" customHeight="false" outlineLevel="0" collapsed="false">
      <c r="A52" s="0" t="e">
        <v>#N/A</v>
      </c>
      <c r="B52" s="0" t="e">
        <v>#N/A</v>
      </c>
      <c r="C52" s="0" t="e">
        <v>#N/A</v>
      </c>
      <c r="D52" s="0" t="e">
        <v>#N/A</v>
      </c>
      <c r="E52" s="0" t="e">
        <v>#N/A</v>
      </c>
      <c r="F52" s="0" t="e">
        <v>#N/A</v>
      </c>
      <c r="G52" s="0" t="e">
        <v>#N/A</v>
      </c>
      <c r="H52" s="0" t="e">
        <v>#N/A</v>
      </c>
      <c r="I52" s="0" t="e">
        <v>#N/A</v>
      </c>
      <c r="J52" s="0" t="e">
        <v>#N/A</v>
      </c>
      <c r="K52" s="0" t="e">
        <v>#N/A</v>
      </c>
      <c r="L52" s="0" t="e">
        <v>#N/A</v>
      </c>
      <c r="M52" s="0" t="e">
        <v>#N/A</v>
      </c>
    </row>
    <row r="53" customFormat="false" ht="15" hidden="false" customHeight="false" outlineLevel="0" collapsed="false">
      <c r="A53" s="0" t="e">
        <v>#N/A</v>
      </c>
      <c r="B53" s="0" t="e">
        <v>#N/A</v>
      </c>
      <c r="C53" s="0" t="e">
        <v>#N/A</v>
      </c>
      <c r="D53" s="0" t="e">
        <v>#N/A</v>
      </c>
      <c r="E53" s="0" t="e">
        <v>#N/A</v>
      </c>
      <c r="F53" s="0" t="e">
        <v>#N/A</v>
      </c>
      <c r="G53" s="0" t="e">
        <v>#N/A</v>
      </c>
      <c r="H53" s="0" t="e">
        <v>#N/A</v>
      </c>
      <c r="I53" s="0" t="e">
        <v>#N/A</v>
      </c>
      <c r="J53" s="0" t="e">
        <v>#N/A</v>
      </c>
      <c r="K53" s="0" t="e">
        <v>#N/A</v>
      </c>
      <c r="L53" s="0" t="e">
        <v>#N/A</v>
      </c>
      <c r="M53" s="0" t="e">
        <v>#N/A</v>
      </c>
    </row>
    <row r="54" customFormat="false" ht="15" hidden="false" customHeight="false" outlineLevel="0" collapsed="false">
      <c r="A54" s="0" t="e">
        <v>#N/A</v>
      </c>
      <c r="B54" s="0" t="e">
        <v>#N/A</v>
      </c>
      <c r="C54" s="0" t="e">
        <v>#N/A</v>
      </c>
      <c r="D54" s="0" t="e">
        <v>#N/A</v>
      </c>
      <c r="E54" s="0" t="e">
        <v>#N/A</v>
      </c>
      <c r="F54" s="0" t="e">
        <v>#N/A</v>
      </c>
      <c r="G54" s="0" t="e">
        <v>#N/A</v>
      </c>
      <c r="H54" s="0" t="e">
        <v>#N/A</v>
      </c>
      <c r="I54" s="0" t="e">
        <v>#N/A</v>
      </c>
      <c r="J54" s="0" t="e">
        <v>#N/A</v>
      </c>
      <c r="K54" s="0" t="e">
        <v>#N/A</v>
      </c>
      <c r="L54" s="0" t="e">
        <v>#N/A</v>
      </c>
      <c r="M54" s="0" t="e">
        <v>#N/A</v>
      </c>
    </row>
    <row r="55" customFormat="false" ht="15" hidden="false" customHeight="false" outlineLevel="0" collapsed="false">
      <c r="A55" s="0" t="e">
        <v>#N/A</v>
      </c>
      <c r="B55" s="0" t="e">
        <v>#N/A</v>
      </c>
      <c r="C55" s="0" t="e">
        <v>#N/A</v>
      </c>
      <c r="D55" s="0" t="e">
        <v>#N/A</v>
      </c>
      <c r="E55" s="0" t="e">
        <v>#N/A</v>
      </c>
      <c r="F55" s="0" t="e">
        <v>#N/A</v>
      </c>
      <c r="G55" s="0" t="e">
        <v>#N/A</v>
      </c>
      <c r="H55" s="0" t="e">
        <v>#N/A</v>
      </c>
      <c r="I55" s="0" t="e">
        <v>#N/A</v>
      </c>
      <c r="J55" s="0" t="e">
        <v>#N/A</v>
      </c>
      <c r="K55" s="0" t="e">
        <v>#N/A</v>
      </c>
      <c r="L55" s="0" t="e">
        <v>#N/A</v>
      </c>
      <c r="M55" s="0" t="e">
        <v>#N/A</v>
      </c>
    </row>
    <row r="56" customFormat="false" ht="15" hidden="false" customHeight="false" outlineLevel="0" collapsed="false">
      <c r="A56" s="0" t="e">
        <v>#N/A</v>
      </c>
      <c r="B56" s="0" t="e">
        <v>#N/A</v>
      </c>
      <c r="C56" s="0" t="e">
        <v>#N/A</v>
      </c>
      <c r="D56" s="0" t="e">
        <v>#N/A</v>
      </c>
      <c r="E56" s="0" t="e">
        <v>#N/A</v>
      </c>
      <c r="F56" s="0" t="e">
        <v>#N/A</v>
      </c>
      <c r="G56" s="0" t="e">
        <v>#N/A</v>
      </c>
      <c r="H56" s="0" t="e">
        <v>#N/A</v>
      </c>
      <c r="I56" s="0" t="e">
        <v>#N/A</v>
      </c>
      <c r="J56" s="0" t="e">
        <v>#N/A</v>
      </c>
      <c r="K56" s="0" t="e">
        <v>#N/A</v>
      </c>
      <c r="L56" s="0" t="e">
        <v>#N/A</v>
      </c>
      <c r="M56" s="0" t="e">
        <v>#N/A</v>
      </c>
    </row>
    <row r="57" customFormat="false" ht="15" hidden="false" customHeight="false" outlineLevel="0" collapsed="false">
      <c r="A57" s="0" t="e">
        <v>#N/A</v>
      </c>
      <c r="B57" s="0" t="e">
        <v>#N/A</v>
      </c>
      <c r="C57" s="0" t="e">
        <v>#N/A</v>
      </c>
      <c r="D57" s="0" t="e">
        <v>#N/A</v>
      </c>
      <c r="E57" s="0" t="e">
        <v>#N/A</v>
      </c>
      <c r="F57" s="0" t="e">
        <v>#N/A</v>
      </c>
      <c r="G57" s="0" t="e">
        <v>#N/A</v>
      </c>
      <c r="H57" s="0" t="e">
        <v>#N/A</v>
      </c>
      <c r="I57" s="0" t="e">
        <v>#N/A</v>
      </c>
      <c r="J57" s="0" t="e">
        <v>#N/A</v>
      </c>
      <c r="K57" s="0" t="e">
        <v>#N/A</v>
      </c>
      <c r="L57" s="0" t="e">
        <v>#N/A</v>
      </c>
      <c r="M57" s="0" t="e">
        <v>#N/A</v>
      </c>
    </row>
    <row r="58" customFormat="false" ht="15" hidden="false" customHeight="false" outlineLevel="0" collapsed="false">
      <c r="A58" s="0" t="e">
        <v>#N/A</v>
      </c>
      <c r="B58" s="0" t="e">
        <v>#N/A</v>
      </c>
      <c r="C58" s="0" t="e">
        <v>#N/A</v>
      </c>
      <c r="D58" s="0" t="e">
        <v>#N/A</v>
      </c>
      <c r="E58" s="0" t="e">
        <v>#N/A</v>
      </c>
      <c r="F58" s="0" t="e">
        <v>#N/A</v>
      </c>
      <c r="G58" s="0" t="e">
        <v>#N/A</v>
      </c>
      <c r="H58" s="0" t="e">
        <v>#N/A</v>
      </c>
      <c r="I58" s="0" t="e">
        <v>#N/A</v>
      </c>
      <c r="J58" s="0" t="e">
        <v>#N/A</v>
      </c>
      <c r="K58" s="0" t="e">
        <v>#N/A</v>
      </c>
      <c r="L58" s="0" t="e">
        <v>#N/A</v>
      </c>
      <c r="M58" s="0" t="e">
        <v>#N/A</v>
      </c>
    </row>
    <row r="59" customFormat="false" ht="15" hidden="false" customHeight="false" outlineLevel="0" collapsed="false">
      <c r="A59" s="0" t="e">
        <v>#N/A</v>
      </c>
      <c r="B59" s="0" t="e">
        <v>#N/A</v>
      </c>
      <c r="C59" s="0" t="e">
        <v>#N/A</v>
      </c>
      <c r="D59" s="0" t="e">
        <v>#N/A</v>
      </c>
      <c r="E59" s="0" t="e">
        <v>#N/A</v>
      </c>
      <c r="F59" s="0" t="e">
        <v>#N/A</v>
      </c>
      <c r="G59" s="0" t="e">
        <v>#N/A</v>
      </c>
      <c r="H59" s="0" t="e">
        <v>#N/A</v>
      </c>
      <c r="I59" s="0" t="e">
        <v>#N/A</v>
      </c>
      <c r="J59" s="0" t="e">
        <v>#N/A</v>
      </c>
      <c r="K59" s="0" t="e">
        <v>#N/A</v>
      </c>
      <c r="L59" s="0" t="e">
        <v>#N/A</v>
      </c>
      <c r="M59" s="0" t="e">
        <v>#N/A</v>
      </c>
    </row>
    <row r="60" customFormat="false" ht="15" hidden="false" customHeight="false" outlineLevel="0" collapsed="false">
      <c r="A60" s="0" t="e">
        <v>#N/A</v>
      </c>
      <c r="B60" s="0" t="e">
        <v>#N/A</v>
      </c>
      <c r="C60" s="0" t="e">
        <v>#N/A</v>
      </c>
      <c r="D60" s="0" t="e">
        <v>#N/A</v>
      </c>
      <c r="E60" s="0" t="e">
        <v>#N/A</v>
      </c>
      <c r="F60" s="0" t="e">
        <v>#N/A</v>
      </c>
      <c r="G60" s="0" t="e">
        <v>#N/A</v>
      </c>
      <c r="H60" s="0" t="e">
        <v>#N/A</v>
      </c>
      <c r="I60" s="0" t="e">
        <v>#N/A</v>
      </c>
      <c r="J60" s="0" t="e">
        <v>#N/A</v>
      </c>
      <c r="K60" s="0" t="e">
        <v>#N/A</v>
      </c>
      <c r="L60" s="0" t="e">
        <v>#N/A</v>
      </c>
      <c r="M60" s="0" t="e">
        <v>#N/A</v>
      </c>
    </row>
    <row r="61" customFormat="false" ht="15" hidden="false" customHeight="false" outlineLevel="0" collapsed="false">
      <c r="A61" s="0" t="e">
        <v>#N/A</v>
      </c>
      <c r="B61" s="0" t="e">
        <v>#N/A</v>
      </c>
      <c r="C61" s="0" t="e">
        <v>#N/A</v>
      </c>
      <c r="D61" s="0" t="e">
        <v>#N/A</v>
      </c>
      <c r="E61" s="0" t="e">
        <v>#N/A</v>
      </c>
      <c r="F61" s="0" t="e">
        <v>#N/A</v>
      </c>
      <c r="G61" s="0" t="e">
        <v>#N/A</v>
      </c>
      <c r="H61" s="0" t="e">
        <v>#N/A</v>
      </c>
      <c r="I61" s="0" t="e">
        <v>#N/A</v>
      </c>
      <c r="J61" s="0" t="e">
        <v>#N/A</v>
      </c>
      <c r="K61" s="0" t="e">
        <v>#N/A</v>
      </c>
      <c r="L61" s="0" t="e">
        <v>#N/A</v>
      </c>
      <c r="M61" s="0" t="e">
        <v>#N/A</v>
      </c>
    </row>
    <row r="62" customFormat="false" ht="15" hidden="false" customHeight="false" outlineLevel="0" collapsed="false">
      <c r="A62" s="0" t="e">
        <v>#N/A</v>
      </c>
      <c r="B62" s="0" t="e">
        <v>#N/A</v>
      </c>
      <c r="C62" s="0" t="e">
        <v>#N/A</v>
      </c>
      <c r="D62" s="0" t="e">
        <v>#N/A</v>
      </c>
      <c r="E62" s="0" t="e">
        <v>#N/A</v>
      </c>
      <c r="F62" s="0" t="e">
        <v>#N/A</v>
      </c>
      <c r="G62" s="0" t="e">
        <v>#N/A</v>
      </c>
      <c r="H62" s="0" t="e">
        <v>#N/A</v>
      </c>
      <c r="I62" s="0" t="e">
        <v>#N/A</v>
      </c>
      <c r="J62" s="0" t="e">
        <v>#N/A</v>
      </c>
      <c r="K62" s="0" t="e">
        <v>#N/A</v>
      </c>
      <c r="L62" s="0" t="e">
        <v>#N/A</v>
      </c>
      <c r="M62" s="0" t="e">
        <v>#N/A</v>
      </c>
    </row>
    <row r="63" customFormat="false" ht="15" hidden="false" customHeight="false" outlineLevel="0" collapsed="false">
      <c r="A63" s="0" t="e">
        <v>#N/A</v>
      </c>
      <c r="B63" s="0" t="e">
        <v>#N/A</v>
      </c>
      <c r="C63" s="0" t="e">
        <v>#N/A</v>
      </c>
      <c r="D63" s="0" t="e">
        <v>#N/A</v>
      </c>
      <c r="E63" s="0" t="e">
        <v>#N/A</v>
      </c>
      <c r="F63" s="0" t="e">
        <v>#N/A</v>
      </c>
      <c r="G63" s="0" t="e">
        <v>#N/A</v>
      </c>
      <c r="H63" s="0" t="e">
        <v>#N/A</v>
      </c>
      <c r="I63" s="0" t="e">
        <v>#N/A</v>
      </c>
      <c r="J63" s="0" t="e">
        <v>#N/A</v>
      </c>
      <c r="K63" s="0" t="e">
        <v>#N/A</v>
      </c>
      <c r="L63" s="0" t="e">
        <v>#N/A</v>
      </c>
      <c r="M63" s="0" t="e">
        <v>#N/A</v>
      </c>
    </row>
    <row r="64" customFormat="false" ht="15" hidden="false" customHeight="false" outlineLevel="0" collapsed="false">
      <c r="A64" s="0" t="e">
        <v>#N/A</v>
      </c>
      <c r="B64" s="0" t="e">
        <v>#N/A</v>
      </c>
      <c r="C64" s="0" t="e">
        <v>#N/A</v>
      </c>
      <c r="D64" s="0" t="e">
        <v>#N/A</v>
      </c>
      <c r="E64" s="0" t="e">
        <v>#N/A</v>
      </c>
      <c r="F64" s="0" t="e">
        <v>#N/A</v>
      </c>
      <c r="G64" s="0" t="e">
        <v>#N/A</v>
      </c>
      <c r="H64" s="0" t="e">
        <v>#N/A</v>
      </c>
      <c r="I64" s="0" t="e">
        <v>#N/A</v>
      </c>
      <c r="J64" s="0" t="e">
        <v>#N/A</v>
      </c>
      <c r="K64" s="0" t="e">
        <v>#N/A</v>
      </c>
      <c r="L64" s="0" t="e">
        <v>#N/A</v>
      </c>
      <c r="M64" s="0" t="e">
        <v>#N/A</v>
      </c>
    </row>
    <row r="65" customFormat="false" ht="15" hidden="false" customHeight="false" outlineLevel="0" collapsed="false">
      <c r="A65" s="0" t="e">
        <v>#N/A</v>
      </c>
      <c r="B65" s="0" t="e">
        <v>#N/A</v>
      </c>
      <c r="C65" s="0" t="e">
        <v>#N/A</v>
      </c>
      <c r="D65" s="0" t="e">
        <v>#N/A</v>
      </c>
      <c r="E65" s="0" t="e">
        <v>#N/A</v>
      </c>
      <c r="F65" s="0" t="e">
        <v>#N/A</v>
      </c>
      <c r="G65" s="0" t="e">
        <v>#N/A</v>
      </c>
      <c r="H65" s="0" t="e">
        <v>#N/A</v>
      </c>
      <c r="I65" s="0" t="e">
        <v>#N/A</v>
      </c>
      <c r="J65" s="0" t="e">
        <v>#N/A</v>
      </c>
      <c r="K65" s="0" t="e">
        <v>#N/A</v>
      </c>
      <c r="L65" s="0" t="e">
        <v>#N/A</v>
      </c>
      <c r="M65" s="0" t="e">
        <v>#N/A</v>
      </c>
    </row>
    <row r="66" customFormat="false" ht="15" hidden="false" customHeight="false" outlineLevel="0" collapsed="false">
      <c r="A66" s="0" t="e">
        <v>#N/A</v>
      </c>
      <c r="B66" s="0" t="e">
        <v>#N/A</v>
      </c>
      <c r="C66" s="0" t="e">
        <v>#N/A</v>
      </c>
      <c r="D66" s="0" t="e">
        <v>#N/A</v>
      </c>
      <c r="E66" s="0" t="e">
        <v>#N/A</v>
      </c>
      <c r="F66" s="0" t="e">
        <v>#N/A</v>
      </c>
      <c r="G66" s="0" t="e">
        <v>#N/A</v>
      </c>
      <c r="H66" s="0" t="e">
        <v>#N/A</v>
      </c>
      <c r="I66" s="0" t="e">
        <v>#N/A</v>
      </c>
      <c r="J66" s="0" t="e">
        <v>#N/A</v>
      </c>
      <c r="K66" s="0" t="e">
        <v>#N/A</v>
      </c>
      <c r="L66" s="0" t="e">
        <v>#N/A</v>
      </c>
      <c r="M66" s="0" t="e">
        <v>#N/A</v>
      </c>
    </row>
    <row r="67" customFormat="false" ht="15" hidden="false" customHeight="false" outlineLevel="0" collapsed="false">
      <c r="A67" s="0" t="e">
        <v>#N/A</v>
      </c>
      <c r="B67" s="0" t="e">
        <v>#N/A</v>
      </c>
      <c r="C67" s="0" t="e">
        <v>#N/A</v>
      </c>
      <c r="D67" s="0" t="e">
        <v>#N/A</v>
      </c>
      <c r="E67" s="0" t="e">
        <v>#N/A</v>
      </c>
      <c r="F67" s="0" t="e">
        <v>#N/A</v>
      </c>
      <c r="G67" s="0" t="e">
        <v>#N/A</v>
      </c>
      <c r="H67" s="0" t="e">
        <v>#N/A</v>
      </c>
      <c r="I67" s="0" t="e">
        <v>#N/A</v>
      </c>
      <c r="J67" s="0" t="e">
        <v>#N/A</v>
      </c>
      <c r="K67" s="0" t="e">
        <v>#N/A</v>
      </c>
      <c r="L67" s="0" t="e">
        <v>#N/A</v>
      </c>
      <c r="M67" s="0" t="e">
        <v>#N/A</v>
      </c>
    </row>
    <row r="68" customFormat="false" ht="15" hidden="false" customHeight="false" outlineLevel="0" collapsed="false">
      <c r="A68" s="0" t="e">
        <v>#N/A</v>
      </c>
      <c r="B68" s="0" t="e">
        <v>#N/A</v>
      </c>
      <c r="C68" s="0" t="e">
        <v>#N/A</v>
      </c>
      <c r="D68" s="0" t="e">
        <v>#N/A</v>
      </c>
      <c r="E68" s="0" t="e">
        <v>#N/A</v>
      </c>
      <c r="F68" s="0" t="e">
        <v>#N/A</v>
      </c>
      <c r="G68" s="0" t="e">
        <v>#N/A</v>
      </c>
      <c r="H68" s="0" t="e">
        <v>#N/A</v>
      </c>
      <c r="I68" s="0" t="e">
        <v>#N/A</v>
      </c>
      <c r="J68" s="0" t="e">
        <v>#N/A</v>
      </c>
      <c r="K68" s="0" t="e">
        <v>#N/A</v>
      </c>
      <c r="L68" s="0" t="e">
        <v>#N/A</v>
      </c>
      <c r="M68" s="0" t="e">
        <v>#N/A</v>
      </c>
    </row>
    <row r="69" customFormat="false" ht="15" hidden="false" customHeight="false" outlineLevel="0" collapsed="false">
      <c r="A69" s="0" t="e">
        <v>#N/A</v>
      </c>
      <c r="B69" s="0" t="e">
        <v>#N/A</v>
      </c>
      <c r="C69" s="0" t="e">
        <v>#N/A</v>
      </c>
      <c r="D69" s="0" t="e">
        <v>#N/A</v>
      </c>
      <c r="E69" s="0" t="e">
        <v>#N/A</v>
      </c>
      <c r="F69" s="0" t="e">
        <v>#N/A</v>
      </c>
      <c r="G69" s="0" t="e">
        <v>#N/A</v>
      </c>
      <c r="H69" s="0" t="e">
        <v>#N/A</v>
      </c>
      <c r="I69" s="0" t="e">
        <v>#N/A</v>
      </c>
      <c r="J69" s="0" t="e">
        <v>#N/A</v>
      </c>
      <c r="K69" s="0" t="e">
        <v>#N/A</v>
      </c>
      <c r="L69" s="0" t="e">
        <v>#N/A</v>
      </c>
      <c r="M69" s="0" t="e">
        <v>#N/A</v>
      </c>
    </row>
    <row r="70" customFormat="false" ht="15" hidden="false" customHeight="false" outlineLevel="0" collapsed="false">
      <c r="A70" s="0" t="e">
        <v>#N/A</v>
      </c>
      <c r="B70" s="0" t="e">
        <v>#N/A</v>
      </c>
      <c r="C70" s="0" t="e">
        <v>#N/A</v>
      </c>
      <c r="D70" s="0" t="e">
        <v>#N/A</v>
      </c>
      <c r="E70" s="0" t="e">
        <v>#N/A</v>
      </c>
      <c r="F70" s="0" t="e">
        <v>#N/A</v>
      </c>
      <c r="G70" s="0" t="e">
        <v>#N/A</v>
      </c>
      <c r="H70" s="0" t="e">
        <v>#N/A</v>
      </c>
      <c r="I70" s="0" t="e">
        <v>#N/A</v>
      </c>
      <c r="J70" s="0" t="e">
        <v>#N/A</v>
      </c>
      <c r="K70" s="0" t="e">
        <v>#N/A</v>
      </c>
      <c r="L70" s="0" t="e">
        <v>#N/A</v>
      </c>
      <c r="M70" s="0" t="e">
        <v>#N/A</v>
      </c>
    </row>
    <row r="71" customFormat="false" ht="15" hidden="false" customHeight="false" outlineLevel="0" collapsed="false">
      <c r="A71" s="0" t="e">
        <v>#N/A</v>
      </c>
      <c r="B71" s="0" t="e">
        <v>#N/A</v>
      </c>
      <c r="C71" s="0" t="e">
        <v>#N/A</v>
      </c>
      <c r="D71" s="0" t="e">
        <v>#N/A</v>
      </c>
      <c r="E71" s="0" t="e">
        <v>#N/A</v>
      </c>
      <c r="F71" s="0" t="e">
        <v>#N/A</v>
      </c>
      <c r="G71" s="0" t="e">
        <v>#N/A</v>
      </c>
      <c r="H71" s="0" t="e">
        <v>#N/A</v>
      </c>
      <c r="I71" s="0" t="e">
        <v>#N/A</v>
      </c>
      <c r="J71" s="0" t="e">
        <v>#N/A</v>
      </c>
      <c r="K71" s="0" t="e">
        <v>#N/A</v>
      </c>
      <c r="L71" s="0" t="e">
        <v>#N/A</v>
      </c>
      <c r="M71" s="0" t="e">
        <v>#N/A</v>
      </c>
    </row>
    <row r="72" customFormat="false" ht="15" hidden="false" customHeight="false" outlineLevel="0" collapsed="false">
      <c r="A72" s="0" t="e">
        <v>#N/A</v>
      </c>
      <c r="B72" s="0" t="e">
        <v>#N/A</v>
      </c>
      <c r="C72" s="0" t="e">
        <v>#N/A</v>
      </c>
      <c r="D72" s="0" t="e">
        <v>#N/A</v>
      </c>
      <c r="E72" s="0" t="e">
        <v>#N/A</v>
      </c>
      <c r="F72" s="0" t="e">
        <v>#N/A</v>
      </c>
      <c r="G72" s="0" t="e">
        <v>#N/A</v>
      </c>
      <c r="H72" s="0" t="e">
        <v>#N/A</v>
      </c>
      <c r="I72" s="0" t="e">
        <v>#N/A</v>
      </c>
      <c r="J72" s="0" t="e">
        <v>#N/A</v>
      </c>
      <c r="K72" s="0" t="e">
        <v>#N/A</v>
      </c>
      <c r="L72" s="0" t="e">
        <v>#N/A</v>
      </c>
      <c r="M72" s="0" t="e">
        <v>#N/A</v>
      </c>
    </row>
    <row r="73" customFormat="false" ht="15" hidden="false" customHeight="false" outlineLevel="0" collapsed="false">
      <c r="A73" s="0" t="e">
        <v>#N/A</v>
      </c>
      <c r="B73" s="0" t="e">
        <v>#N/A</v>
      </c>
      <c r="C73" s="0" t="e">
        <v>#N/A</v>
      </c>
      <c r="D73" s="0" t="e">
        <v>#N/A</v>
      </c>
      <c r="E73" s="0" t="e">
        <v>#N/A</v>
      </c>
      <c r="F73" s="0" t="e">
        <v>#N/A</v>
      </c>
      <c r="G73" s="0" t="e">
        <v>#N/A</v>
      </c>
      <c r="H73" s="0" t="e">
        <v>#N/A</v>
      </c>
      <c r="I73" s="0" t="e">
        <v>#N/A</v>
      </c>
      <c r="J73" s="0" t="e">
        <v>#N/A</v>
      </c>
      <c r="K73" s="0" t="e">
        <v>#N/A</v>
      </c>
      <c r="L73" s="0" t="e">
        <v>#N/A</v>
      </c>
      <c r="M73" s="0" t="e">
        <v>#N/A</v>
      </c>
    </row>
    <row r="74" customFormat="false" ht="15" hidden="false" customHeight="false" outlineLevel="0" collapsed="false">
      <c r="A74" s="0" t="e">
        <v>#N/A</v>
      </c>
      <c r="B74" s="0" t="e">
        <v>#N/A</v>
      </c>
      <c r="C74" s="0" t="e">
        <v>#N/A</v>
      </c>
      <c r="D74" s="0" t="e">
        <v>#N/A</v>
      </c>
      <c r="E74" s="0" t="e">
        <v>#N/A</v>
      </c>
      <c r="F74" s="0" t="e">
        <v>#N/A</v>
      </c>
      <c r="G74" s="0" t="e">
        <v>#N/A</v>
      </c>
      <c r="H74" s="0" t="e">
        <v>#N/A</v>
      </c>
      <c r="I74" s="0" t="e">
        <v>#N/A</v>
      </c>
      <c r="J74" s="0" t="e">
        <v>#N/A</v>
      </c>
      <c r="K74" s="0" t="e">
        <v>#N/A</v>
      </c>
      <c r="L74" s="0" t="e">
        <v>#N/A</v>
      </c>
      <c r="M74" s="0" t="e">
        <v>#N/A</v>
      </c>
    </row>
    <row r="75" customFormat="false" ht="15" hidden="false" customHeight="false" outlineLevel="0" collapsed="false">
      <c r="A75" s="0" t="e">
        <v>#N/A</v>
      </c>
      <c r="B75" s="0" t="e">
        <v>#N/A</v>
      </c>
      <c r="C75" s="0" t="e">
        <v>#N/A</v>
      </c>
      <c r="D75" s="0" t="e">
        <v>#N/A</v>
      </c>
      <c r="E75" s="0" t="e">
        <v>#N/A</v>
      </c>
      <c r="F75" s="0" t="e">
        <v>#N/A</v>
      </c>
      <c r="G75" s="0" t="e">
        <v>#N/A</v>
      </c>
      <c r="H75" s="0" t="e">
        <v>#N/A</v>
      </c>
      <c r="I75" s="0" t="e">
        <v>#N/A</v>
      </c>
      <c r="J75" s="0" t="e">
        <v>#N/A</v>
      </c>
      <c r="K75" s="0" t="e">
        <v>#N/A</v>
      </c>
      <c r="L75" s="0" t="e">
        <v>#N/A</v>
      </c>
      <c r="M75" s="0" t="e">
        <v>#N/A</v>
      </c>
    </row>
    <row r="76" customFormat="false" ht="15" hidden="false" customHeight="false" outlineLevel="0" collapsed="false">
      <c r="A76" s="0" t="e">
        <v>#N/A</v>
      </c>
      <c r="B76" s="0" t="e">
        <v>#N/A</v>
      </c>
      <c r="C76" s="0" t="e">
        <v>#N/A</v>
      </c>
      <c r="D76" s="0" t="e">
        <v>#N/A</v>
      </c>
      <c r="E76" s="0" t="e">
        <v>#N/A</v>
      </c>
      <c r="F76" s="0" t="e">
        <v>#N/A</v>
      </c>
      <c r="G76" s="0" t="e">
        <v>#N/A</v>
      </c>
      <c r="H76" s="0" t="e">
        <v>#N/A</v>
      </c>
      <c r="I76" s="0" t="e">
        <v>#N/A</v>
      </c>
      <c r="J76" s="0" t="e">
        <v>#N/A</v>
      </c>
      <c r="K76" s="0" t="e">
        <v>#N/A</v>
      </c>
      <c r="L76" s="0" t="e">
        <v>#N/A</v>
      </c>
      <c r="M76" s="0" t="e">
        <v>#N/A</v>
      </c>
    </row>
    <row r="77" customFormat="false" ht="15" hidden="false" customHeight="false" outlineLevel="0" collapsed="false">
      <c r="A77" s="0" t="e">
        <v>#N/A</v>
      </c>
      <c r="B77" s="0" t="e">
        <v>#N/A</v>
      </c>
      <c r="C77" s="0" t="e">
        <v>#N/A</v>
      </c>
      <c r="D77" s="0" t="e">
        <v>#N/A</v>
      </c>
      <c r="E77" s="0" t="e">
        <v>#N/A</v>
      </c>
      <c r="F77" s="0" t="e">
        <v>#N/A</v>
      </c>
      <c r="G77" s="0" t="e">
        <v>#N/A</v>
      </c>
      <c r="H77" s="0" t="e">
        <v>#N/A</v>
      </c>
      <c r="I77" s="0" t="e">
        <v>#N/A</v>
      </c>
      <c r="J77" s="0" t="e">
        <v>#N/A</v>
      </c>
      <c r="K77" s="0" t="e">
        <v>#N/A</v>
      </c>
      <c r="L77" s="0" t="e">
        <v>#N/A</v>
      </c>
      <c r="M77" s="0" t="e">
        <v>#N/A</v>
      </c>
    </row>
    <row r="78" customFormat="false" ht="15" hidden="false" customHeight="false" outlineLevel="0" collapsed="false">
      <c r="A78" s="0" t="e">
        <v>#N/A</v>
      </c>
      <c r="B78" s="0" t="e">
        <v>#N/A</v>
      </c>
      <c r="C78" s="0" t="e">
        <v>#N/A</v>
      </c>
      <c r="D78" s="0" t="e">
        <v>#N/A</v>
      </c>
      <c r="E78" s="0" t="e">
        <v>#N/A</v>
      </c>
      <c r="F78" s="0" t="e">
        <v>#N/A</v>
      </c>
      <c r="G78" s="0" t="e">
        <v>#N/A</v>
      </c>
      <c r="H78" s="0" t="e">
        <v>#N/A</v>
      </c>
      <c r="I78" s="0" t="e">
        <v>#N/A</v>
      </c>
      <c r="J78" s="0" t="e">
        <v>#N/A</v>
      </c>
      <c r="K78" s="0" t="e">
        <v>#N/A</v>
      </c>
      <c r="L78" s="0" t="e">
        <v>#N/A</v>
      </c>
      <c r="M78" s="0" t="e">
        <v>#N/A</v>
      </c>
    </row>
    <row r="79" customFormat="false" ht="15" hidden="false" customHeight="false" outlineLevel="0" collapsed="false">
      <c r="A79" s="0" t="e">
        <v>#N/A</v>
      </c>
      <c r="B79" s="0" t="e">
        <v>#N/A</v>
      </c>
      <c r="C79" s="0" t="e">
        <v>#N/A</v>
      </c>
      <c r="D79" s="0" t="e">
        <v>#N/A</v>
      </c>
      <c r="E79" s="0" t="e">
        <v>#N/A</v>
      </c>
      <c r="F79" s="0" t="e">
        <v>#N/A</v>
      </c>
      <c r="G79" s="0" t="e">
        <v>#N/A</v>
      </c>
      <c r="H79" s="0" t="e">
        <v>#N/A</v>
      </c>
      <c r="I79" s="0" t="e">
        <v>#N/A</v>
      </c>
      <c r="J79" s="0" t="e">
        <v>#N/A</v>
      </c>
      <c r="K79" s="0" t="e">
        <v>#N/A</v>
      </c>
      <c r="L79" s="0" t="e">
        <v>#N/A</v>
      </c>
      <c r="M79" s="0" t="e">
        <v>#N/A</v>
      </c>
    </row>
    <row r="80" customFormat="false" ht="15" hidden="false" customHeight="false" outlineLevel="0" collapsed="false">
      <c r="A80" s="0" t="e">
        <v>#N/A</v>
      </c>
      <c r="B80" s="0" t="e">
        <v>#N/A</v>
      </c>
      <c r="C80" s="0" t="e">
        <v>#N/A</v>
      </c>
      <c r="D80" s="0" t="e">
        <v>#N/A</v>
      </c>
      <c r="E80" s="0" t="e">
        <v>#N/A</v>
      </c>
      <c r="F80" s="0" t="e">
        <v>#N/A</v>
      </c>
      <c r="G80" s="0" t="e">
        <v>#N/A</v>
      </c>
      <c r="H80" s="0" t="e">
        <v>#N/A</v>
      </c>
      <c r="I80" s="0" t="e">
        <v>#N/A</v>
      </c>
      <c r="J80" s="0" t="e">
        <v>#N/A</v>
      </c>
      <c r="K80" s="0" t="e">
        <v>#N/A</v>
      </c>
      <c r="L80" s="0" t="e">
        <v>#N/A</v>
      </c>
      <c r="M80" s="0" t="e">
        <v>#N/A</v>
      </c>
    </row>
    <row r="81" customFormat="false" ht="15" hidden="false" customHeight="false" outlineLevel="0" collapsed="false">
      <c r="A81" s="0" t="e">
        <v>#N/A</v>
      </c>
      <c r="B81" s="0" t="e">
        <v>#N/A</v>
      </c>
      <c r="C81" s="0" t="e">
        <v>#N/A</v>
      </c>
      <c r="D81" s="0" t="e">
        <v>#N/A</v>
      </c>
      <c r="E81" s="0" t="e">
        <v>#N/A</v>
      </c>
      <c r="F81" s="0" t="e">
        <v>#N/A</v>
      </c>
      <c r="G81" s="0" t="e">
        <v>#N/A</v>
      </c>
      <c r="H81" s="0" t="e">
        <v>#N/A</v>
      </c>
      <c r="I81" s="0" t="e">
        <v>#N/A</v>
      </c>
      <c r="J81" s="0" t="e">
        <v>#N/A</v>
      </c>
      <c r="K81" s="0" t="e">
        <v>#N/A</v>
      </c>
      <c r="L81" s="0" t="e">
        <v>#N/A</v>
      </c>
      <c r="M81" s="0" t="e">
        <v>#N/A</v>
      </c>
    </row>
    <row r="82" customFormat="false" ht="15" hidden="false" customHeight="false" outlineLevel="0" collapsed="false">
      <c r="A82" s="0" t="e">
        <v>#N/A</v>
      </c>
      <c r="B82" s="0" t="e">
        <v>#N/A</v>
      </c>
      <c r="C82" s="0" t="e">
        <v>#N/A</v>
      </c>
      <c r="D82" s="0" t="e">
        <v>#N/A</v>
      </c>
      <c r="E82" s="0" t="e">
        <v>#N/A</v>
      </c>
      <c r="F82" s="0" t="e">
        <v>#N/A</v>
      </c>
      <c r="G82" s="0" t="e">
        <v>#N/A</v>
      </c>
      <c r="H82" s="0" t="e">
        <v>#N/A</v>
      </c>
      <c r="I82" s="0" t="e">
        <v>#N/A</v>
      </c>
      <c r="J82" s="0" t="e">
        <v>#N/A</v>
      </c>
      <c r="K82" s="0" t="e">
        <v>#N/A</v>
      </c>
      <c r="L82" s="0" t="e">
        <v>#N/A</v>
      </c>
      <c r="M82" s="0" t="e">
        <v>#N/A</v>
      </c>
    </row>
    <row r="83" customFormat="false" ht="15" hidden="false" customHeight="false" outlineLevel="0" collapsed="false">
      <c r="A83" s="0" t="e">
        <v>#N/A</v>
      </c>
      <c r="B83" s="0" t="e">
        <v>#N/A</v>
      </c>
      <c r="C83" s="0" t="e">
        <v>#N/A</v>
      </c>
      <c r="D83" s="0" t="e">
        <v>#N/A</v>
      </c>
      <c r="E83" s="0" t="e">
        <v>#N/A</v>
      </c>
      <c r="F83" s="0" t="e">
        <v>#N/A</v>
      </c>
      <c r="G83" s="0" t="e">
        <v>#N/A</v>
      </c>
      <c r="H83" s="0" t="e">
        <v>#N/A</v>
      </c>
      <c r="I83" s="0" t="e">
        <v>#N/A</v>
      </c>
      <c r="J83" s="0" t="e">
        <v>#N/A</v>
      </c>
      <c r="K83" s="0" t="e">
        <v>#N/A</v>
      </c>
      <c r="L83" s="0" t="e">
        <v>#N/A</v>
      </c>
      <c r="M83" s="0" t="e">
        <v>#N/A</v>
      </c>
    </row>
    <row r="84" customFormat="false" ht="15" hidden="false" customHeight="false" outlineLevel="0" collapsed="false">
      <c r="A84" s="0" t="e">
        <v>#N/A</v>
      </c>
      <c r="B84" s="0" t="e">
        <v>#N/A</v>
      </c>
      <c r="C84" s="0" t="e">
        <v>#N/A</v>
      </c>
      <c r="D84" s="0" t="e">
        <v>#N/A</v>
      </c>
      <c r="E84" s="0" t="e">
        <v>#N/A</v>
      </c>
      <c r="F84" s="0" t="e">
        <v>#N/A</v>
      </c>
      <c r="G84" s="0" t="e">
        <v>#N/A</v>
      </c>
      <c r="H84" s="0" t="e">
        <v>#N/A</v>
      </c>
      <c r="I84" s="0" t="e">
        <v>#N/A</v>
      </c>
      <c r="J84" s="0" t="e">
        <v>#N/A</v>
      </c>
      <c r="K84" s="0" t="e">
        <v>#N/A</v>
      </c>
      <c r="L84" s="0" t="e">
        <v>#N/A</v>
      </c>
      <c r="M84" s="0" t="e">
        <v>#N/A</v>
      </c>
    </row>
    <row r="85" customFormat="false" ht="15" hidden="false" customHeight="false" outlineLevel="0" collapsed="false">
      <c r="A85" s="0" t="e">
        <v>#N/A</v>
      </c>
      <c r="B85" s="0" t="e">
        <v>#N/A</v>
      </c>
      <c r="C85" s="0" t="e">
        <v>#N/A</v>
      </c>
      <c r="D85" s="0" t="e">
        <v>#N/A</v>
      </c>
      <c r="E85" s="0" t="e">
        <v>#N/A</v>
      </c>
      <c r="F85" s="0" t="e">
        <v>#N/A</v>
      </c>
      <c r="G85" s="0" t="e">
        <v>#N/A</v>
      </c>
      <c r="H85" s="0" t="e">
        <v>#N/A</v>
      </c>
      <c r="I85" s="0" t="e">
        <v>#N/A</v>
      </c>
      <c r="J85" s="0" t="e">
        <v>#N/A</v>
      </c>
      <c r="K85" s="0" t="e">
        <v>#N/A</v>
      </c>
      <c r="L85" s="0" t="e">
        <v>#N/A</v>
      </c>
      <c r="M85" s="0" t="e">
        <v>#N/A</v>
      </c>
    </row>
    <row r="86" customFormat="false" ht="15" hidden="false" customHeight="false" outlineLevel="0" collapsed="false">
      <c r="A86" s="0" t="e">
        <v>#N/A</v>
      </c>
      <c r="B86" s="0" t="e">
        <v>#N/A</v>
      </c>
      <c r="C86" s="0" t="e">
        <v>#N/A</v>
      </c>
      <c r="D86" s="0" t="e">
        <v>#N/A</v>
      </c>
      <c r="E86" s="0" t="e">
        <v>#N/A</v>
      </c>
      <c r="F86" s="0" t="e">
        <v>#N/A</v>
      </c>
      <c r="G86" s="0" t="e">
        <v>#N/A</v>
      </c>
      <c r="H86" s="0" t="e">
        <v>#N/A</v>
      </c>
      <c r="I86" s="0" t="e">
        <v>#N/A</v>
      </c>
      <c r="J86" s="0" t="e">
        <v>#N/A</v>
      </c>
      <c r="K86" s="0" t="e">
        <v>#N/A</v>
      </c>
      <c r="L86" s="0" t="e">
        <v>#N/A</v>
      </c>
      <c r="M86" s="0" t="e">
        <v>#N/A</v>
      </c>
    </row>
    <row r="87" customFormat="false" ht="15" hidden="false" customHeight="false" outlineLevel="0" collapsed="false">
      <c r="A87" s="0" t="e">
        <v>#N/A</v>
      </c>
      <c r="B87" s="0" t="e">
        <v>#N/A</v>
      </c>
      <c r="C87" s="0" t="e">
        <v>#N/A</v>
      </c>
      <c r="D87" s="0" t="e">
        <v>#N/A</v>
      </c>
      <c r="E87" s="0" t="e">
        <v>#N/A</v>
      </c>
      <c r="F87" s="0" t="e">
        <v>#N/A</v>
      </c>
      <c r="G87" s="0" t="e">
        <v>#N/A</v>
      </c>
      <c r="H87" s="0" t="e">
        <v>#N/A</v>
      </c>
      <c r="I87" s="0" t="e">
        <v>#N/A</v>
      </c>
      <c r="J87" s="0" t="e">
        <v>#N/A</v>
      </c>
      <c r="K87" s="0" t="e">
        <v>#N/A</v>
      </c>
      <c r="L87" s="0" t="e">
        <v>#N/A</v>
      </c>
      <c r="M87" s="0" t="e">
        <v>#N/A</v>
      </c>
    </row>
    <row r="88" customFormat="false" ht="15" hidden="false" customHeight="false" outlineLevel="0" collapsed="false">
      <c r="A88" s="0" t="e">
        <v>#N/A</v>
      </c>
      <c r="B88" s="0" t="e">
        <v>#N/A</v>
      </c>
      <c r="C88" s="0" t="e">
        <v>#N/A</v>
      </c>
      <c r="D88" s="0" t="e">
        <v>#N/A</v>
      </c>
      <c r="E88" s="0" t="e">
        <v>#N/A</v>
      </c>
      <c r="F88" s="0" t="e">
        <v>#N/A</v>
      </c>
      <c r="G88" s="0" t="e">
        <v>#N/A</v>
      </c>
      <c r="H88" s="0" t="e">
        <v>#N/A</v>
      </c>
      <c r="I88" s="0" t="e">
        <v>#N/A</v>
      </c>
      <c r="J88" s="0" t="e">
        <v>#N/A</v>
      </c>
      <c r="K88" s="0" t="e">
        <v>#N/A</v>
      </c>
      <c r="L88" s="0" t="e">
        <v>#N/A</v>
      </c>
      <c r="M88" s="0" t="e">
        <v>#N/A</v>
      </c>
    </row>
    <row r="89" customFormat="false" ht="15" hidden="false" customHeight="false" outlineLevel="0" collapsed="false">
      <c r="A89" s="0" t="e">
        <v>#N/A</v>
      </c>
      <c r="B89" s="0" t="e">
        <v>#N/A</v>
      </c>
      <c r="C89" s="0" t="e">
        <v>#N/A</v>
      </c>
      <c r="D89" s="0" t="e">
        <v>#N/A</v>
      </c>
      <c r="E89" s="0" t="e">
        <v>#N/A</v>
      </c>
      <c r="F89" s="0" t="e">
        <v>#N/A</v>
      </c>
      <c r="G89" s="0" t="e">
        <v>#N/A</v>
      </c>
      <c r="H89" s="0" t="e">
        <v>#N/A</v>
      </c>
      <c r="I89" s="0" t="e">
        <v>#N/A</v>
      </c>
      <c r="J89" s="0" t="e">
        <v>#N/A</v>
      </c>
      <c r="K89" s="0" t="e">
        <v>#N/A</v>
      </c>
      <c r="L89" s="0" t="e">
        <v>#N/A</v>
      </c>
      <c r="M89" s="0" t="e">
        <v>#N/A</v>
      </c>
    </row>
    <row r="90" customFormat="false" ht="15" hidden="false" customHeight="false" outlineLevel="0" collapsed="false">
      <c r="A90" s="0" t="e">
        <v>#N/A</v>
      </c>
      <c r="B90" s="0" t="e">
        <v>#N/A</v>
      </c>
      <c r="C90" s="0" t="e">
        <v>#N/A</v>
      </c>
      <c r="D90" s="0" t="e">
        <v>#N/A</v>
      </c>
      <c r="E90" s="0" t="e">
        <v>#N/A</v>
      </c>
      <c r="F90" s="0" t="e">
        <v>#N/A</v>
      </c>
      <c r="G90" s="0" t="e">
        <v>#N/A</v>
      </c>
      <c r="H90" s="0" t="e">
        <v>#N/A</v>
      </c>
      <c r="I90" s="0" t="e">
        <v>#N/A</v>
      </c>
      <c r="J90" s="0" t="e">
        <v>#N/A</v>
      </c>
      <c r="K90" s="0" t="e">
        <v>#N/A</v>
      </c>
      <c r="L90" s="0" t="e">
        <v>#N/A</v>
      </c>
      <c r="M90" s="0" t="e">
        <v>#N/A</v>
      </c>
    </row>
    <row r="91" customFormat="false" ht="15" hidden="false" customHeight="false" outlineLevel="0" collapsed="false">
      <c r="A91" s="0" t="e">
        <v>#N/A</v>
      </c>
      <c r="B91" s="0" t="e">
        <v>#N/A</v>
      </c>
      <c r="C91" s="0" t="e">
        <v>#N/A</v>
      </c>
      <c r="D91" s="0" t="e">
        <v>#N/A</v>
      </c>
      <c r="E91" s="0" t="e">
        <v>#N/A</v>
      </c>
      <c r="F91" s="0" t="e">
        <v>#N/A</v>
      </c>
      <c r="G91" s="0" t="e">
        <v>#N/A</v>
      </c>
      <c r="H91" s="0" t="e">
        <v>#N/A</v>
      </c>
      <c r="I91" s="0" t="e">
        <v>#N/A</v>
      </c>
      <c r="J91" s="0" t="e">
        <v>#N/A</v>
      </c>
      <c r="K91" s="0" t="e">
        <v>#N/A</v>
      </c>
      <c r="L91" s="0" t="e">
        <v>#N/A</v>
      </c>
      <c r="M91" s="0" t="e">
        <v>#N/A</v>
      </c>
    </row>
    <row r="92" customFormat="false" ht="15" hidden="false" customHeight="false" outlineLevel="0" collapsed="false">
      <c r="A92" s="0" t="e">
        <v>#N/A</v>
      </c>
      <c r="B92" s="0" t="e">
        <v>#N/A</v>
      </c>
      <c r="C92" s="0" t="e">
        <v>#N/A</v>
      </c>
      <c r="D92" s="0" t="e">
        <v>#N/A</v>
      </c>
      <c r="E92" s="0" t="e">
        <v>#N/A</v>
      </c>
      <c r="F92" s="0" t="e">
        <v>#N/A</v>
      </c>
      <c r="G92" s="0" t="e">
        <v>#N/A</v>
      </c>
      <c r="H92" s="0" t="e">
        <v>#N/A</v>
      </c>
      <c r="I92" s="0" t="e">
        <v>#N/A</v>
      </c>
      <c r="J92" s="0" t="e">
        <v>#N/A</v>
      </c>
      <c r="K92" s="0" t="e">
        <v>#N/A</v>
      </c>
      <c r="L92" s="0" t="e">
        <v>#N/A</v>
      </c>
      <c r="M92" s="0" t="e">
        <v>#N/A</v>
      </c>
    </row>
    <row r="93" customFormat="false" ht="15" hidden="false" customHeight="false" outlineLevel="0" collapsed="false">
      <c r="A93" s="0" t="e">
        <v>#N/A</v>
      </c>
      <c r="B93" s="0" t="e">
        <v>#N/A</v>
      </c>
      <c r="C93" s="0" t="e">
        <v>#N/A</v>
      </c>
      <c r="D93" s="0" t="e">
        <v>#N/A</v>
      </c>
      <c r="E93" s="0" t="e">
        <v>#N/A</v>
      </c>
      <c r="F93" s="0" t="e">
        <v>#N/A</v>
      </c>
      <c r="G93" s="0" t="e">
        <v>#N/A</v>
      </c>
      <c r="H93" s="0" t="e">
        <v>#N/A</v>
      </c>
      <c r="I93" s="0" t="e">
        <v>#N/A</v>
      </c>
      <c r="J93" s="0" t="e">
        <v>#N/A</v>
      </c>
      <c r="K93" s="0" t="e">
        <v>#N/A</v>
      </c>
      <c r="L93" s="0" t="e">
        <v>#N/A</v>
      </c>
      <c r="M93" s="0" t="e">
        <v>#N/A</v>
      </c>
    </row>
    <row r="94" customFormat="false" ht="15" hidden="false" customHeight="false" outlineLevel="0" collapsed="false">
      <c r="A94" s="0" t="e">
        <v>#N/A</v>
      </c>
      <c r="B94" s="0" t="e">
        <v>#N/A</v>
      </c>
      <c r="C94" s="0" t="e">
        <v>#N/A</v>
      </c>
      <c r="D94" s="0" t="e">
        <v>#N/A</v>
      </c>
      <c r="E94" s="0" t="e">
        <v>#N/A</v>
      </c>
      <c r="F94" s="0" t="e">
        <v>#N/A</v>
      </c>
      <c r="G94" s="0" t="e">
        <v>#N/A</v>
      </c>
      <c r="H94" s="0" t="e">
        <v>#N/A</v>
      </c>
      <c r="I94" s="0" t="e">
        <v>#N/A</v>
      </c>
      <c r="J94" s="0" t="e">
        <v>#N/A</v>
      </c>
      <c r="K94" s="0" t="e">
        <v>#N/A</v>
      </c>
      <c r="L94" s="0" t="e">
        <v>#N/A</v>
      </c>
      <c r="M94" s="0" t="e">
        <v>#N/A</v>
      </c>
    </row>
    <row r="95" customFormat="false" ht="15" hidden="false" customHeight="false" outlineLevel="0" collapsed="false">
      <c r="A95" s="0" t="e">
        <v>#N/A</v>
      </c>
      <c r="B95" s="0" t="e">
        <v>#N/A</v>
      </c>
      <c r="C95" s="0" t="e">
        <v>#N/A</v>
      </c>
      <c r="D95" s="0" t="e">
        <v>#N/A</v>
      </c>
      <c r="E95" s="0" t="e">
        <v>#N/A</v>
      </c>
      <c r="F95" s="0" t="e">
        <v>#N/A</v>
      </c>
      <c r="G95" s="0" t="e">
        <v>#N/A</v>
      </c>
      <c r="H95" s="0" t="e">
        <v>#N/A</v>
      </c>
      <c r="I95" s="0" t="e">
        <v>#N/A</v>
      </c>
      <c r="J95" s="0" t="e">
        <v>#N/A</v>
      </c>
      <c r="K95" s="0" t="e">
        <v>#N/A</v>
      </c>
      <c r="L95" s="0" t="e">
        <v>#N/A</v>
      </c>
      <c r="M95" s="0" t="e">
        <v>#N/A</v>
      </c>
    </row>
    <row r="96" customFormat="false" ht="15" hidden="false" customHeight="false" outlineLevel="0" collapsed="false">
      <c r="A96" s="0" t="e">
        <v>#N/A</v>
      </c>
      <c r="B96" s="0" t="e">
        <v>#N/A</v>
      </c>
      <c r="C96" s="0" t="e">
        <v>#N/A</v>
      </c>
      <c r="D96" s="0" t="e">
        <v>#N/A</v>
      </c>
      <c r="E96" s="0" t="e">
        <v>#N/A</v>
      </c>
      <c r="F96" s="0" t="e">
        <v>#N/A</v>
      </c>
      <c r="G96" s="0" t="e">
        <v>#N/A</v>
      </c>
      <c r="H96" s="0" t="e">
        <v>#N/A</v>
      </c>
      <c r="I96" s="0" t="e">
        <v>#N/A</v>
      </c>
      <c r="J96" s="0" t="e">
        <v>#N/A</v>
      </c>
      <c r="K96" s="0" t="e">
        <v>#N/A</v>
      </c>
      <c r="L96" s="0" t="e">
        <v>#N/A</v>
      </c>
      <c r="M96" s="0" t="e">
        <v>#N/A</v>
      </c>
    </row>
    <row r="97" customFormat="false" ht="15" hidden="false" customHeight="false" outlineLevel="0" collapsed="false">
      <c r="A97" s="0" t="e">
        <v>#N/A</v>
      </c>
      <c r="B97" s="0" t="e">
        <v>#N/A</v>
      </c>
      <c r="C97" s="0" t="e">
        <v>#N/A</v>
      </c>
      <c r="D97" s="0" t="e">
        <v>#N/A</v>
      </c>
      <c r="E97" s="0" t="e">
        <v>#N/A</v>
      </c>
      <c r="F97" s="0" t="e">
        <v>#N/A</v>
      </c>
      <c r="G97" s="0" t="e">
        <v>#N/A</v>
      </c>
      <c r="H97" s="0" t="e">
        <v>#N/A</v>
      </c>
      <c r="I97" s="0" t="e">
        <v>#N/A</v>
      </c>
      <c r="J97" s="0" t="e">
        <v>#N/A</v>
      </c>
      <c r="K97" s="0" t="e">
        <v>#N/A</v>
      </c>
      <c r="L97" s="0" t="e">
        <v>#N/A</v>
      </c>
      <c r="M97" s="0" t="e">
        <v>#N/A</v>
      </c>
    </row>
    <row r="98" customFormat="false" ht="15" hidden="false" customHeight="false" outlineLevel="0" collapsed="false">
      <c r="A98" s="0" t="e">
        <v>#N/A</v>
      </c>
      <c r="B98" s="0" t="e">
        <v>#N/A</v>
      </c>
      <c r="C98" s="0" t="e">
        <v>#N/A</v>
      </c>
      <c r="D98" s="0" t="e">
        <v>#N/A</v>
      </c>
      <c r="E98" s="0" t="e">
        <v>#N/A</v>
      </c>
      <c r="F98" s="0" t="e">
        <v>#N/A</v>
      </c>
      <c r="G98" s="0" t="e">
        <v>#N/A</v>
      </c>
      <c r="H98" s="0" t="e">
        <v>#N/A</v>
      </c>
      <c r="I98" s="0" t="e">
        <v>#N/A</v>
      </c>
      <c r="J98" s="0" t="e">
        <v>#N/A</v>
      </c>
      <c r="K98" s="0" t="e">
        <v>#N/A</v>
      </c>
      <c r="L98" s="0" t="e">
        <v>#N/A</v>
      </c>
      <c r="M98" s="0" t="e">
        <v>#N/A</v>
      </c>
    </row>
    <row r="99" customFormat="false" ht="15" hidden="false" customHeight="false" outlineLevel="0" collapsed="false">
      <c r="A99" s="0" t="e">
        <v>#N/A</v>
      </c>
      <c r="B99" s="0" t="e">
        <v>#N/A</v>
      </c>
      <c r="C99" s="0" t="e">
        <v>#N/A</v>
      </c>
      <c r="D99" s="0" t="e">
        <v>#N/A</v>
      </c>
      <c r="E99" s="0" t="e">
        <v>#N/A</v>
      </c>
      <c r="F99" s="0" t="e">
        <v>#N/A</v>
      </c>
      <c r="G99" s="0" t="e">
        <v>#N/A</v>
      </c>
      <c r="H99" s="0" t="e">
        <v>#N/A</v>
      </c>
      <c r="I99" s="0" t="e">
        <v>#N/A</v>
      </c>
      <c r="J99" s="0" t="e">
        <v>#N/A</v>
      </c>
      <c r="K99" s="0" t="e">
        <v>#N/A</v>
      </c>
      <c r="L99" s="0" t="e">
        <v>#N/A</v>
      </c>
      <c r="M99" s="0" t="e">
        <v>#N/A</v>
      </c>
    </row>
    <row r="100" customFormat="false" ht="15" hidden="false" customHeight="false" outlineLevel="0" collapsed="false">
      <c r="A100" s="0" t="e">
        <v>#N/A</v>
      </c>
      <c r="B100" s="0" t="e">
        <v>#N/A</v>
      </c>
      <c r="C100" s="0" t="e">
        <v>#N/A</v>
      </c>
      <c r="D100" s="0" t="e">
        <v>#N/A</v>
      </c>
      <c r="E100" s="0" t="e">
        <v>#N/A</v>
      </c>
      <c r="F100" s="0" t="e">
        <v>#N/A</v>
      </c>
      <c r="G100" s="0" t="e">
        <v>#N/A</v>
      </c>
      <c r="H100" s="0" t="e">
        <v>#N/A</v>
      </c>
      <c r="I100" s="0" t="e">
        <v>#N/A</v>
      </c>
      <c r="J100" s="0" t="e">
        <v>#N/A</v>
      </c>
      <c r="K100" s="0" t="e">
        <v>#N/A</v>
      </c>
      <c r="L100" s="0" t="e">
        <v>#N/A</v>
      </c>
      <c r="M100" s="0" t="e">
        <v>#N/A</v>
      </c>
    </row>
    <row r="101" customFormat="false" ht="15" hidden="false" customHeight="false" outlineLevel="0" collapsed="false">
      <c r="A101" s="0" t="e">
        <v>#N/A</v>
      </c>
      <c r="B101" s="0" t="e">
        <v>#N/A</v>
      </c>
      <c r="C101" s="0" t="e">
        <v>#N/A</v>
      </c>
      <c r="D101" s="0" t="e">
        <v>#N/A</v>
      </c>
      <c r="E101" s="0" t="e">
        <v>#N/A</v>
      </c>
      <c r="F101" s="0" t="e">
        <v>#N/A</v>
      </c>
      <c r="G101" s="0" t="e">
        <v>#N/A</v>
      </c>
      <c r="H101" s="0" t="e">
        <v>#N/A</v>
      </c>
      <c r="I101" s="0" t="e">
        <v>#N/A</v>
      </c>
      <c r="J101" s="0" t="e">
        <v>#N/A</v>
      </c>
      <c r="K101" s="0" t="e">
        <v>#N/A</v>
      </c>
      <c r="L101" s="0" t="e">
        <v>#N/A</v>
      </c>
      <c r="M101" s="0" t="e">
        <v>#N/A</v>
      </c>
    </row>
    <row r="102" customFormat="false" ht="15" hidden="false" customHeight="false" outlineLevel="0" collapsed="false">
      <c r="A102" s="0" t="e">
        <v>#N/A</v>
      </c>
      <c r="B102" s="0" t="e">
        <v>#N/A</v>
      </c>
      <c r="C102" s="0" t="e">
        <v>#N/A</v>
      </c>
      <c r="D102" s="0" t="e">
        <v>#N/A</v>
      </c>
      <c r="E102" s="0" t="e">
        <v>#N/A</v>
      </c>
      <c r="F102" s="0" t="e">
        <v>#N/A</v>
      </c>
      <c r="G102" s="0" t="e">
        <v>#N/A</v>
      </c>
      <c r="H102" s="0" t="e">
        <v>#N/A</v>
      </c>
      <c r="I102" s="0" t="e">
        <v>#N/A</v>
      </c>
      <c r="J102" s="0" t="e">
        <v>#N/A</v>
      </c>
      <c r="K102" s="0" t="e">
        <v>#N/A</v>
      </c>
      <c r="L102" s="0" t="e">
        <v>#N/A</v>
      </c>
      <c r="M102" s="0" t="e">
        <v>#N/A</v>
      </c>
    </row>
    <row r="103" customFormat="false" ht="15" hidden="false" customHeight="false" outlineLevel="0" collapsed="false">
      <c r="A103" s="0" t="e">
        <v>#N/A</v>
      </c>
      <c r="B103" s="0" t="e">
        <v>#N/A</v>
      </c>
      <c r="C103" s="0" t="e">
        <v>#N/A</v>
      </c>
      <c r="D103" s="0" t="e">
        <v>#N/A</v>
      </c>
      <c r="E103" s="0" t="e">
        <v>#N/A</v>
      </c>
      <c r="F103" s="0" t="e">
        <v>#N/A</v>
      </c>
      <c r="G103" s="0" t="e">
        <v>#N/A</v>
      </c>
      <c r="H103" s="0" t="e">
        <v>#N/A</v>
      </c>
      <c r="I103" s="0" t="e">
        <v>#N/A</v>
      </c>
      <c r="J103" s="0" t="e">
        <v>#N/A</v>
      </c>
      <c r="K103" s="0" t="e">
        <v>#N/A</v>
      </c>
      <c r="L103" s="0" t="e">
        <v>#N/A</v>
      </c>
      <c r="M103" s="0" t="e">
        <v>#N/A</v>
      </c>
    </row>
    <row r="104" customFormat="false" ht="15" hidden="false" customHeight="false" outlineLevel="0" collapsed="false">
      <c r="A104" s="0" t="e">
        <v>#N/A</v>
      </c>
      <c r="B104" s="0" t="e">
        <v>#N/A</v>
      </c>
      <c r="C104" s="0" t="e">
        <v>#N/A</v>
      </c>
      <c r="D104" s="0" t="e">
        <v>#N/A</v>
      </c>
      <c r="E104" s="0" t="e">
        <v>#N/A</v>
      </c>
      <c r="F104" s="0" t="e">
        <v>#N/A</v>
      </c>
      <c r="G104" s="0" t="e">
        <v>#N/A</v>
      </c>
      <c r="H104" s="0" t="e">
        <v>#N/A</v>
      </c>
      <c r="I104" s="0" t="e">
        <v>#N/A</v>
      </c>
      <c r="J104" s="0" t="e">
        <v>#N/A</v>
      </c>
      <c r="K104" s="0" t="e">
        <v>#N/A</v>
      </c>
      <c r="L104" s="0" t="e">
        <v>#N/A</v>
      </c>
      <c r="M104" s="0" t="e">
        <v>#N/A</v>
      </c>
    </row>
    <row r="105" customFormat="false" ht="15" hidden="false" customHeight="false" outlineLevel="0" collapsed="false">
      <c r="A105" s="0" t="e">
        <v>#N/A</v>
      </c>
      <c r="B105" s="0" t="e">
        <v>#N/A</v>
      </c>
      <c r="C105" s="0" t="e">
        <v>#N/A</v>
      </c>
      <c r="D105" s="0" t="e">
        <v>#N/A</v>
      </c>
      <c r="E105" s="0" t="e">
        <v>#N/A</v>
      </c>
      <c r="F105" s="0" t="e">
        <v>#N/A</v>
      </c>
      <c r="G105" s="0" t="e">
        <v>#N/A</v>
      </c>
      <c r="H105" s="0" t="e">
        <v>#N/A</v>
      </c>
      <c r="I105" s="0" t="e">
        <v>#N/A</v>
      </c>
      <c r="J105" s="0" t="e">
        <v>#N/A</v>
      </c>
      <c r="K105" s="0" t="e">
        <v>#N/A</v>
      </c>
      <c r="L105" s="0" t="e">
        <v>#N/A</v>
      </c>
      <c r="M105" s="0" t="e">
        <v>#N/A</v>
      </c>
    </row>
    <row r="106" customFormat="false" ht="15" hidden="false" customHeight="false" outlineLevel="0" collapsed="false">
      <c r="A106" s="0" t="e">
        <v>#N/A</v>
      </c>
      <c r="B106" s="0" t="e">
        <v>#N/A</v>
      </c>
      <c r="C106" s="0" t="e">
        <v>#N/A</v>
      </c>
      <c r="D106" s="0" t="e">
        <v>#N/A</v>
      </c>
      <c r="E106" s="0" t="e">
        <v>#N/A</v>
      </c>
      <c r="F106" s="0" t="e">
        <v>#N/A</v>
      </c>
      <c r="G106" s="0" t="e">
        <v>#N/A</v>
      </c>
      <c r="H106" s="0" t="e">
        <v>#N/A</v>
      </c>
      <c r="I106" s="0" t="e">
        <v>#N/A</v>
      </c>
      <c r="J106" s="0" t="e">
        <v>#N/A</v>
      </c>
      <c r="K106" s="0" t="e">
        <v>#N/A</v>
      </c>
      <c r="L106" s="0" t="e">
        <v>#N/A</v>
      </c>
      <c r="M106" s="0" t="e">
        <v>#N/A</v>
      </c>
    </row>
    <row r="107" customFormat="false" ht="15" hidden="false" customHeight="false" outlineLevel="0" collapsed="false">
      <c r="A107" s="0" t="e">
        <v>#N/A</v>
      </c>
      <c r="B107" s="0" t="e">
        <v>#N/A</v>
      </c>
      <c r="C107" s="0" t="e">
        <v>#N/A</v>
      </c>
      <c r="D107" s="0" t="e">
        <v>#N/A</v>
      </c>
      <c r="E107" s="0" t="e">
        <v>#N/A</v>
      </c>
      <c r="F107" s="0" t="e">
        <v>#N/A</v>
      </c>
      <c r="G107" s="0" t="e">
        <v>#N/A</v>
      </c>
      <c r="H107" s="0" t="e">
        <v>#N/A</v>
      </c>
      <c r="I107" s="0" t="e">
        <v>#N/A</v>
      </c>
      <c r="J107" s="0" t="e">
        <v>#N/A</v>
      </c>
      <c r="K107" s="0" t="e">
        <v>#N/A</v>
      </c>
      <c r="L107" s="0" t="e">
        <v>#N/A</v>
      </c>
      <c r="M107" s="0" t="e">
        <v>#N/A</v>
      </c>
    </row>
    <row r="108" customFormat="false" ht="15" hidden="false" customHeight="false" outlineLevel="0" collapsed="false">
      <c r="A108" s="0" t="e">
        <v>#N/A</v>
      </c>
      <c r="B108" s="0" t="e">
        <v>#N/A</v>
      </c>
      <c r="C108" s="0" t="e">
        <v>#N/A</v>
      </c>
      <c r="D108" s="0" t="e">
        <v>#N/A</v>
      </c>
      <c r="E108" s="0" t="e">
        <v>#N/A</v>
      </c>
      <c r="F108" s="0" t="e">
        <v>#N/A</v>
      </c>
      <c r="G108" s="0" t="e">
        <v>#N/A</v>
      </c>
      <c r="H108" s="0" t="e">
        <v>#N/A</v>
      </c>
      <c r="I108" s="0" t="e">
        <v>#N/A</v>
      </c>
      <c r="J108" s="0" t="e">
        <v>#N/A</v>
      </c>
      <c r="K108" s="0" t="e">
        <v>#N/A</v>
      </c>
      <c r="L108" s="0" t="e">
        <v>#N/A</v>
      </c>
      <c r="M108" s="0" t="e">
        <v>#N/A</v>
      </c>
    </row>
    <row r="109" customFormat="false" ht="15" hidden="false" customHeight="false" outlineLevel="0" collapsed="false">
      <c r="A109" s="0" t="e">
        <v>#N/A</v>
      </c>
      <c r="B109" s="0" t="e">
        <v>#N/A</v>
      </c>
      <c r="C109" s="0" t="e">
        <v>#N/A</v>
      </c>
      <c r="D109" s="0" t="e">
        <v>#N/A</v>
      </c>
      <c r="E109" s="0" t="e">
        <v>#N/A</v>
      </c>
      <c r="F109" s="0" t="e">
        <v>#N/A</v>
      </c>
      <c r="G109" s="0" t="e">
        <v>#N/A</v>
      </c>
      <c r="H109" s="0" t="e">
        <v>#N/A</v>
      </c>
      <c r="I109" s="0" t="e">
        <v>#N/A</v>
      </c>
      <c r="J109" s="0" t="e">
        <v>#N/A</v>
      </c>
      <c r="K109" s="0" t="e">
        <v>#N/A</v>
      </c>
      <c r="L109" s="0" t="e">
        <v>#N/A</v>
      </c>
      <c r="M109" s="0" t="e">
        <v>#N/A</v>
      </c>
    </row>
    <row r="110" customFormat="false" ht="15" hidden="false" customHeight="false" outlineLevel="0" collapsed="false">
      <c r="A110" s="0" t="e">
        <v>#N/A</v>
      </c>
      <c r="B110" s="0" t="e">
        <v>#N/A</v>
      </c>
      <c r="C110" s="0" t="e">
        <v>#N/A</v>
      </c>
      <c r="D110" s="0" t="e">
        <v>#N/A</v>
      </c>
      <c r="E110" s="0" t="e">
        <v>#N/A</v>
      </c>
      <c r="F110" s="0" t="e">
        <v>#N/A</v>
      </c>
      <c r="G110" s="0" t="e">
        <v>#N/A</v>
      </c>
      <c r="H110" s="0" t="e">
        <v>#N/A</v>
      </c>
      <c r="I110" s="0" t="e">
        <v>#N/A</v>
      </c>
      <c r="J110" s="0" t="e">
        <v>#N/A</v>
      </c>
      <c r="K110" s="0" t="e">
        <v>#N/A</v>
      </c>
      <c r="L110" s="0" t="e">
        <v>#N/A</v>
      </c>
      <c r="M110" s="0" t="e">
        <v>#N/A</v>
      </c>
    </row>
    <row r="111" customFormat="false" ht="15" hidden="false" customHeight="false" outlineLevel="0" collapsed="false">
      <c r="A111" s="0" t="e">
        <v>#N/A</v>
      </c>
      <c r="B111" s="0" t="e">
        <v>#N/A</v>
      </c>
      <c r="C111" s="0" t="e">
        <v>#N/A</v>
      </c>
      <c r="D111" s="0" t="e">
        <v>#N/A</v>
      </c>
      <c r="E111" s="0" t="e">
        <v>#N/A</v>
      </c>
      <c r="F111" s="0" t="e">
        <v>#N/A</v>
      </c>
      <c r="G111" s="0" t="e">
        <v>#N/A</v>
      </c>
      <c r="H111" s="0" t="e">
        <v>#N/A</v>
      </c>
      <c r="I111" s="0" t="e">
        <v>#N/A</v>
      </c>
      <c r="J111" s="0" t="e">
        <v>#N/A</v>
      </c>
      <c r="K111" s="0" t="e">
        <v>#N/A</v>
      </c>
      <c r="L111" s="0" t="e">
        <v>#N/A</v>
      </c>
      <c r="M111" s="0" t="e">
        <v>#N/A</v>
      </c>
    </row>
    <row r="112" customFormat="false" ht="15" hidden="false" customHeight="false" outlineLevel="0" collapsed="false">
      <c r="A112" s="0" t="e">
        <v>#N/A</v>
      </c>
      <c r="B112" s="0" t="e">
        <v>#N/A</v>
      </c>
      <c r="C112" s="0" t="e">
        <v>#N/A</v>
      </c>
      <c r="D112" s="0" t="e">
        <v>#N/A</v>
      </c>
      <c r="E112" s="0" t="e">
        <v>#N/A</v>
      </c>
      <c r="F112" s="0" t="e">
        <v>#N/A</v>
      </c>
      <c r="G112" s="0" t="e">
        <v>#N/A</v>
      </c>
      <c r="H112" s="0" t="e">
        <v>#N/A</v>
      </c>
      <c r="I112" s="0" t="e">
        <v>#N/A</v>
      </c>
      <c r="J112" s="0" t="e">
        <v>#N/A</v>
      </c>
      <c r="K112" s="0" t="e">
        <v>#N/A</v>
      </c>
      <c r="L112" s="0" t="e">
        <v>#N/A</v>
      </c>
      <c r="M112" s="0" t="e">
        <v>#N/A</v>
      </c>
    </row>
    <row r="113" customFormat="false" ht="15" hidden="false" customHeight="false" outlineLevel="0" collapsed="false">
      <c r="A113" s="0" t="e">
        <v>#N/A</v>
      </c>
      <c r="B113" s="0" t="e">
        <v>#N/A</v>
      </c>
      <c r="C113" s="0" t="e">
        <v>#N/A</v>
      </c>
      <c r="D113" s="0" t="e">
        <v>#N/A</v>
      </c>
      <c r="E113" s="0" t="e">
        <v>#N/A</v>
      </c>
      <c r="F113" s="0" t="e">
        <v>#N/A</v>
      </c>
      <c r="G113" s="0" t="e">
        <v>#N/A</v>
      </c>
      <c r="H113" s="0" t="e">
        <v>#N/A</v>
      </c>
      <c r="I113" s="0" t="e">
        <v>#N/A</v>
      </c>
      <c r="J113" s="0" t="e">
        <v>#N/A</v>
      </c>
      <c r="K113" s="0" t="e">
        <v>#N/A</v>
      </c>
      <c r="L113" s="0" t="e">
        <v>#N/A</v>
      </c>
      <c r="M113" s="0" t="e">
        <v>#N/A</v>
      </c>
    </row>
    <row r="114" customFormat="false" ht="15" hidden="false" customHeight="false" outlineLevel="0" collapsed="false">
      <c r="A114" s="0" t="e">
        <v>#N/A</v>
      </c>
      <c r="B114" s="0" t="e">
        <v>#N/A</v>
      </c>
      <c r="C114" s="0" t="e">
        <v>#N/A</v>
      </c>
      <c r="D114" s="0" t="e">
        <v>#N/A</v>
      </c>
      <c r="E114" s="0" t="e">
        <v>#N/A</v>
      </c>
      <c r="F114" s="0" t="e">
        <v>#N/A</v>
      </c>
      <c r="G114" s="0" t="e">
        <v>#N/A</v>
      </c>
      <c r="H114" s="0" t="e">
        <v>#N/A</v>
      </c>
      <c r="I114" s="0" t="e">
        <v>#N/A</v>
      </c>
      <c r="J114" s="0" t="e">
        <v>#N/A</v>
      </c>
      <c r="K114" s="0" t="e">
        <v>#N/A</v>
      </c>
      <c r="L114" s="0" t="e">
        <v>#N/A</v>
      </c>
      <c r="M114" s="0" t="e">
        <v>#N/A</v>
      </c>
    </row>
    <row r="115" customFormat="false" ht="15" hidden="false" customHeight="false" outlineLevel="0" collapsed="false">
      <c r="A115" s="0" t="e">
        <v>#N/A</v>
      </c>
      <c r="B115" s="0" t="e">
        <v>#N/A</v>
      </c>
      <c r="C115" s="0" t="e">
        <v>#N/A</v>
      </c>
      <c r="D115" s="0" t="e">
        <v>#N/A</v>
      </c>
      <c r="E115" s="0" t="e">
        <v>#N/A</v>
      </c>
      <c r="F115" s="0" t="e">
        <v>#N/A</v>
      </c>
      <c r="G115" s="0" t="e">
        <v>#N/A</v>
      </c>
      <c r="H115" s="0" t="e">
        <v>#N/A</v>
      </c>
      <c r="I115" s="0" t="e">
        <v>#N/A</v>
      </c>
      <c r="J115" s="0" t="e">
        <v>#N/A</v>
      </c>
      <c r="K115" s="0" t="e">
        <v>#N/A</v>
      </c>
      <c r="L115" s="0" t="e">
        <v>#N/A</v>
      </c>
      <c r="M115" s="0" t="e">
        <v>#N/A</v>
      </c>
    </row>
    <row r="116" customFormat="false" ht="15" hidden="false" customHeight="false" outlineLevel="0" collapsed="false">
      <c r="A116" s="0" t="e">
        <v>#N/A</v>
      </c>
      <c r="B116" s="0" t="e">
        <v>#N/A</v>
      </c>
      <c r="C116" s="0" t="e">
        <v>#N/A</v>
      </c>
      <c r="D116" s="0" t="e">
        <v>#N/A</v>
      </c>
      <c r="E116" s="0" t="e">
        <v>#N/A</v>
      </c>
      <c r="F116" s="0" t="e">
        <v>#N/A</v>
      </c>
      <c r="G116" s="0" t="e">
        <v>#N/A</v>
      </c>
      <c r="H116" s="0" t="e">
        <v>#N/A</v>
      </c>
      <c r="I116" s="0" t="e">
        <v>#N/A</v>
      </c>
      <c r="J116" s="0" t="e">
        <v>#N/A</v>
      </c>
      <c r="K116" s="0" t="e">
        <v>#N/A</v>
      </c>
      <c r="L116" s="0" t="e">
        <v>#N/A</v>
      </c>
      <c r="M116" s="0" t="e">
        <v>#N/A</v>
      </c>
    </row>
    <row r="117" customFormat="false" ht="15" hidden="false" customHeight="false" outlineLevel="0" collapsed="false">
      <c r="A117" s="0" t="e">
        <v>#N/A</v>
      </c>
      <c r="B117" s="0" t="e">
        <v>#N/A</v>
      </c>
      <c r="C117" s="0" t="e">
        <v>#N/A</v>
      </c>
      <c r="D117" s="0" t="e">
        <v>#N/A</v>
      </c>
      <c r="E117" s="0" t="e">
        <v>#N/A</v>
      </c>
      <c r="F117" s="0" t="e">
        <v>#N/A</v>
      </c>
      <c r="G117" s="0" t="e">
        <v>#N/A</v>
      </c>
      <c r="H117" s="0" t="e">
        <v>#N/A</v>
      </c>
      <c r="I117" s="0" t="e">
        <v>#N/A</v>
      </c>
      <c r="J117" s="0" t="e">
        <v>#N/A</v>
      </c>
      <c r="K117" s="0" t="e">
        <v>#N/A</v>
      </c>
      <c r="L117" s="0" t="e">
        <v>#N/A</v>
      </c>
      <c r="M117" s="0" t="e">
        <v>#N/A</v>
      </c>
    </row>
    <row r="118" customFormat="false" ht="15" hidden="false" customHeight="false" outlineLevel="0" collapsed="false">
      <c r="A118" s="0" t="e">
        <v>#N/A</v>
      </c>
      <c r="B118" s="0" t="e">
        <v>#N/A</v>
      </c>
      <c r="C118" s="0" t="e">
        <v>#N/A</v>
      </c>
      <c r="D118" s="0" t="e">
        <v>#N/A</v>
      </c>
      <c r="E118" s="0" t="e">
        <v>#N/A</v>
      </c>
      <c r="F118" s="0" t="e">
        <v>#N/A</v>
      </c>
      <c r="G118" s="0" t="e">
        <v>#N/A</v>
      </c>
      <c r="H118" s="0" t="e">
        <v>#N/A</v>
      </c>
      <c r="I118" s="0" t="e">
        <v>#N/A</v>
      </c>
      <c r="J118" s="0" t="e">
        <v>#N/A</v>
      </c>
      <c r="K118" s="0" t="e">
        <v>#N/A</v>
      </c>
      <c r="L118" s="0" t="e">
        <v>#N/A</v>
      </c>
      <c r="M118" s="0" t="e">
        <v>#N/A</v>
      </c>
    </row>
    <row r="119" customFormat="false" ht="15" hidden="false" customHeight="false" outlineLevel="0" collapsed="false">
      <c r="A119" s="0" t="e">
        <v>#N/A</v>
      </c>
      <c r="B119" s="0" t="e">
        <v>#N/A</v>
      </c>
      <c r="C119" s="0" t="e">
        <v>#N/A</v>
      </c>
      <c r="D119" s="0" t="e">
        <v>#N/A</v>
      </c>
      <c r="E119" s="0" t="e">
        <v>#N/A</v>
      </c>
      <c r="F119" s="0" t="e">
        <v>#N/A</v>
      </c>
      <c r="G119" s="0" t="e">
        <v>#N/A</v>
      </c>
      <c r="H119" s="0" t="e">
        <v>#N/A</v>
      </c>
      <c r="I119" s="0" t="e">
        <v>#N/A</v>
      </c>
      <c r="J119" s="0" t="e">
        <v>#N/A</v>
      </c>
      <c r="K119" s="0" t="e">
        <v>#N/A</v>
      </c>
      <c r="L119" s="0" t="e">
        <v>#N/A</v>
      </c>
      <c r="M119" s="0" t="e">
        <v>#N/A</v>
      </c>
    </row>
    <row r="120" customFormat="false" ht="15" hidden="false" customHeight="false" outlineLevel="0" collapsed="false">
      <c r="A120" s="0" t="e">
        <v>#N/A</v>
      </c>
      <c r="B120" s="0" t="e">
        <v>#N/A</v>
      </c>
      <c r="C120" s="0" t="e">
        <v>#N/A</v>
      </c>
      <c r="D120" s="0" t="e">
        <v>#N/A</v>
      </c>
      <c r="E120" s="0" t="e">
        <v>#N/A</v>
      </c>
      <c r="F120" s="0" t="e">
        <v>#N/A</v>
      </c>
      <c r="G120" s="0" t="e">
        <v>#N/A</v>
      </c>
      <c r="H120" s="0" t="e">
        <v>#N/A</v>
      </c>
      <c r="I120" s="0" t="e">
        <v>#N/A</v>
      </c>
      <c r="J120" s="0" t="e">
        <v>#N/A</v>
      </c>
      <c r="K120" s="0" t="e">
        <v>#N/A</v>
      </c>
      <c r="L120" s="0" t="e">
        <v>#N/A</v>
      </c>
      <c r="M120" s="0" t="e">
        <v>#N/A</v>
      </c>
    </row>
    <row r="121" customFormat="false" ht="15" hidden="false" customHeight="false" outlineLevel="0" collapsed="false">
      <c r="A121" s="0" t="e">
        <v>#N/A</v>
      </c>
      <c r="B121" s="0" t="e">
        <v>#N/A</v>
      </c>
      <c r="C121" s="0" t="e">
        <v>#N/A</v>
      </c>
      <c r="D121" s="0" t="e">
        <v>#N/A</v>
      </c>
      <c r="E121" s="0" t="e">
        <v>#N/A</v>
      </c>
      <c r="F121" s="0" t="e">
        <v>#N/A</v>
      </c>
      <c r="G121" s="0" t="e">
        <v>#N/A</v>
      </c>
      <c r="H121" s="0" t="e">
        <v>#N/A</v>
      </c>
      <c r="I121" s="0" t="e">
        <v>#N/A</v>
      </c>
      <c r="J121" s="0" t="e">
        <v>#N/A</v>
      </c>
      <c r="K121" s="0" t="e">
        <v>#N/A</v>
      </c>
      <c r="L121" s="0" t="e">
        <v>#N/A</v>
      </c>
      <c r="M121" s="0" t="e">
        <v>#N/A</v>
      </c>
    </row>
    <row r="122" customFormat="false" ht="15" hidden="false" customHeight="false" outlineLevel="0" collapsed="false">
      <c r="A122" s="0" t="e">
        <v>#N/A</v>
      </c>
      <c r="B122" s="0" t="e">
        <v>#N/A</v>
      </c>
      <c r="C122" s="0" t="e">
        <v>#N/A</v>
      </c>
      <c r="D122" s="0" t="e">
        <v>#N/A</v>
      </c>
      <c r="E122" s="0" t="e">
        <v>#N/A</v>
      </c>
      <c r="F122" s="0" t="e">
        <v>#N/A</v>
      </c>
      <c r="G122" s="0" t="e">
        <v>#N/A</v>
      </c>
      <c r="H122" s="0" t="e">
        <v>#N/A</v>
      </c>
      <c r="I122" s="0" t="e">
        <v>#N/A</v>
      </c>
      <c r="J122" s="0" t="e">
        <v>#N/A</v>
      </c>
      <c r="K122" s="0" t="e">
        <v>#N/A</v>
      </c>
      <c r="L122" s="0" t="e">
        <v>#N/A</v>
      </c>
      <c r="M122" s="0" t="e"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2026-10-18T00:17:53Z</dcterms:created>
  <dc:creator>openpyxl</dc:creator>
  <dc:description/>
  <dc:language>en-GB</dc:language>
  <cp:lastModifiedBy/>
  <dcterms:modified xsi:type="dcterms:W3CDTF">2026-10-18T00:17:54Z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